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fc4d38fe3b4e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lculator" sheetId="1" r:id="R925aaaa71a3244d8"/>
    <x:sheet xmlns:r="http://schemas.openxmlformats.org/officeDocument/2006/relationships" name="Bosses" sheetId="2" r:id="R0a41906046aa48f0"/>
    <x:sheet xmlns:r="http://schemas.openxmlformats.org/officeDocument/2006/relationships" name="IV Detail" sheetId="3" r:id="Rac98b01d34264565"/>
    <x:sheet xmlns:r="http://schemas.openxmlformats.org/officeDocument/2006/relationships" name="Read Me" sheetId="4" r:id="Rfc03e9956f2641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%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0A7775"/>
      </x:patternFill>
    </x:fill>
    <x:fill>
      <x:patternFill patternType="solid">
        <x:fgColor rgb="132027"/>
      </x:patternFill>
    </x:fill>
    <x:fill>
      <x:patternFill patternType="solid">
        <x:fgColor rgb="F5F8F6"/>
      </x:patternFill>
    </x:fill>
    <x:fill>
      <x:patternFill patternType="solid">
        <x:fgColor rgb="FFFFFF"/>
      </x:patternFill>
    </x:fill>
    <x:fill>
      <x:patternFill patternType="solid">
        <x:fgColor rgb="DDF3F0"/>
      </x:patternFill>
    </x:fill>
    <x:fill>
      <x:patternFill patternType="solid">
        <x:fgColor rgb="E6F0FF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201" fontId="0" fillId="7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147C45"/>
      </x:font>
      <x:numFmt numFmtId="201" formatCode="0.0%"/>
      <x:fill>
        <x:patternFill patternType="solid">
          <x:bgColor rgb="DDF5E7"/>
        </x:patternFill>
      </x:fill>
    </x:dxf>
    <x:dxf>
      <x:font>
        <x:b/>
        <x:color rgb="9A6200"/>
      </x:font>
      <x:numFmt numFmtId="201" formatCode="0.0%"/>
      <x:fill>
        <x:patternFill patternType="solid">
          <x:bgColor rgb="FFF1CC"/>
        </x:patternFill>
      </x:fill>
    </x:dxf>
    <x:dxf>
      <x:font>
        <x:b/>
        <x:color rgb="B4233A"/>
      </x:font>
      <x:numFmt numFmtId="201" formatCode="0.0%"/>
      <x:fill>
        <x:patternFill patternType="solid">
          <x:bgColor rgb="FFE3EA"/>
        </x:patternFill>
      </x:fill>
    </x:dxf>
    <x:dxf>
      <x:font>
        <x:b/>
        <x:color rgb="147C45"/>
      </x:font>
      <x:numFmt numFmtId="201" formatCode="0.0%"/>
      <x:fill>
        <x:patternFill patternType="solid">
          <x:bgColor rgb="DDF5E7"/>
        </x:patternFill>
      </x:fill>
    </x:dxf>
    <x:dxf>
      <x:font>
        <x:b/>
        <x:color rgb="9A6200"/>
      </x:font>
      <x:numFmt numFmtId="201" formatCode="0.0%"/>
      <x:fill>
        <x:patternFill patternType="solid">
          <x:bgColor rgb="FFF1CC"/>
        </x:patternFill>
      </x:fill>
    </x:dxf>
    <x:dxf>
      <x:font>
        <x:b/>
        <x:color rgb="B4233A"/>
      </x:font>
      <x:numFmt numFmtId="201" formatCode="0.0%"/>
      <x:fill>
        <x:patternFill patternType="solid">
          <x:bgColor rgb="FFE3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cbfcb00af144a4" /><Relationship Type="http://schemas.openxmlformats.org/officeDocument/2006/relationships/theme" Target="/xl/theme/theme1.xml" Id="Rffee179c9a31498e" /><Relationship Type="http://schemas.openxmlformats.org/officeDocument/2006/relationships/sharedStrings" Target="/xl/sharedStrings.xml" Id="R1f42cf9157a94105" /><Relationship Type="http://schemas.openxmlformats.org/officeDocument/2006/relationships/worksheet" Target="/xl/worksheets/sheet1.xml" Id="R925aaaa71a3244d8" /><Relationship Type="http://schemas.openxmlformats.org/officeDocument/2006/relationships/worksheet" Target="/xl/worksheets/sheet2.xml" Id="R0a41906046aa48f0" /><Relationship Type="http://schemas.openxmlformats.org/officeDocument/2006/relationships/worksheet" Target="/xl/worksheets/sheet3.xml" Id="Rac98b01d34264565" /><Relationship Type="http://schemas.openxmlformats.org/officeDocument/2006/relationships/worksheet" Target="/xl/worksheets/sheet4.xml" Id="Rfc03e9956f2641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720000267028809" hidden="0" customWidth="1"/>
    <x:col min="2" max="2" width="27.610000610351562" hidden="0" customWidth="1"/>
    <x:col min="3" max="3" width="14.720000267028809" hidden="0" customWidth="1"/>
    <x:col min="4" max="4" width="14.109999656677246" hidden="0" customWidth="1"/>
    <x:col min="5" max="5" width="14.109999656677246" hidden="0" customWidth="1"/>
    <x:col min="6" max="6" width="14.109999656677246" hidden="0" customWidth="1"/>
    <x:col min="7" max="7" width="14.109999656677246" hidden="0" customWidth="1"/>
    <x:col min="8" max="8" width="14.109999656677246" hidden="0" customWidth="1"/>
  </x:cols>
  <x:sheetData>
    <x:row r="1" ht="25.5" customHeight="1">
      <x:c r="A1" s="5" t="str">
        <x:v>Shadow Raid Purified Hundo Odds Calculator</x:v>
      </x:c>
      <x:c r="B1" s="5"/>
      <x:c r="C1" s="5"/>
      <x:c r="D1" s="5"/>
      <x:c r="E1" s="5"/>
      <x:c r="F1" s="5"/>
      <x:c r="G1" s="5"/>
      <x:c r="H1" s="5"/>
    </x:row>
    <x:row r="3">
      <x:c r="A3" s="8" t="str">
        <x:v>Pokemon</x:v>
      </x:c>
      <x:c r="B3" s="10" t="str">
        <x:v>Mewtwo</x:v>
      </x:c>
      <x:c r="D3" s="12" t="str">
        <x:v>How to use</x:v>
      </x:c>
      <x:c r="E3" s="12"/>
      <x:c r="F3" s="12"/>
      <x:c r="G3" s="12"/>
      <x:c r="H3" s="12"/>
    </x:row>
    <x:row r="4">
      <x:c r="A4" s="8" t="str">
        <x:v>Observed CP</x:v>
      </x:c>
      <x:c r="B4" s="10" t="n">
        <x:v>2387</x:v>
      </x:c>
      <x:c r="D4" s="12" t="str">
        <x:v>1. Pick a boss from the dropdown.</x:v>
      </x:c>
      <x:c r="E4" s="12"/>
      <x:c r="F4" s="12"/>
      <x:c r="G4" s="12"/>
      <x:c r="H4" s="12"/>
    </x:row>
    <x:row r="5">
      <x:c r="A5" s="8" t="str">
        <x:v>Raid IV floor</x:v>
      </x:c>
      <x:c r="B5" s="10" t="n">
        <x:v>6</x:v>
      </x:c>
      <x:c r="D5" s="12" t="str">
        <x:v>2. Enter the CP you see after the raid.</x:v>
      </x:c>
      <x:c r="E5" s="12"/>
      <x:c r="F5" s="12"/>
      <x:c r="G5" s="12"/>
      <x:c r="H5" s="12"/>
    </x:row>
    <x:row r="6">
      <x:c r="A6" s="8" t="str">
        <x:v>Purify bonus</x:v>
      </x:c>
      <x:c r="B6" s="10" t="n">
        <x:v>2</x:v>
      </x:c>
      <x:c r="D6" s="12" t="str">
        <x:v>3. Read level 20 and weather-boosted level 25 odds below.</x:v>
      </x:c>
      <x:c r="E6" s="12"/>
      <x:c r="F6" s="12"/>
      <x:c r="G6" s="12"/>
      <x:c r="H6" s="12"/>
    </x:row>
    <x:row r="7">
      <x:c r="A7" s="8" t="str">
        <x:v>Pre-purify threshold</x:v>
      </x:c>
      <x:c r="B7" s="10" t="n">
        <x:f>MAX(0,15-$B$6)</x:f>
        <x:v>13</x:v>
      </x:c>
      <x:c r="D7" s="12" t="str">
        <x:v>Designed for tier-5 shadow raids with IV floors from 6 to 15.</x:v>
      </x:c>
      <x:c r="E7" s="12"/>
      <x:c r="F7" s="12"/>
      <x:c r="G7" s="12"/>
      <x:c r="H7" s="12"/>
    </x:row>
    <x:row r="10">
      <x:c r="A10" s="8" t="str">
        <x:v>Base Attack</x:v>
      </x:c>
      <x:c r="B10" t="n">
        <x:f>VLOOKUP($B$3,Bosses!$A$2:$D$70,2,FALSE)</x:f>
        <x:v>300</x:v>
      </x:c>
    </x:row>
    <x:row r="11">
      <x:c r="A11" s="8" t="str">
        <x:v>Base Defense</x:v>
      </x:c>
      <x:c r="B11" t="n">
        <x:f>VLOOKUP($B$3,Bosses!$A$2:$D$70,3,FALSE)</x:f>
        <x:v>182</x:v>
      </x:c>
    </x:row>
    <x:row r="12">
      <x:c r="A12" s="8" t="str">
        <x:v>Base Stamina</x:v>
      </x:c>
      <x:c r="B12" t="n">
        <x:f>VLOOKUP($B$3,Bosses!$A$2:$D$70,4,FALSE)</x:f>
        <x:v>214</x:v>
      </x:c>
    </x:row>
    <x:row r="15">
      <x:c r="A15" s="14" t="str">
        <x:v>Base purified-hundo chance before checking CP</x:v>
      </x:c>
      <x:c r="B15" s="15" t="n">
        <x:f>IFERROR(MAX(0,16-MAX($B$5,$B$7))^3/(16-$B$5)^3,0)</x:f>
        <x:v>0.027</x:v>
      </x:c>
    </x:row>
    <x:row r="16">
      <x:c r="A16" s="14" t="str">
        <x:v>Good / Total IV spreads</x:v>
      </x:c>
      <x:c r="B16" s="14" t="str">
        <x:f>MAX(0,16-MAX($B$5,$B$7))^3&amp;" / "&amp;(16-$B$5)^3</x:f>
        <x:v>27 / 1000</x:v>
      </x:c>
    </x:row>
    <x:row r="19">
      <x:c r="A19" s="2" t="str">
        <x:v>Non-weather boosted (Level 20)</x:v>
      </x:c>
      <x:c r="B19" s="2"/>
      <x:c r="C19" s="2"/>
      <x:c r="E19" s="2" t="str">
        <x:v>Weather boosted (Level 25)</x:v>
      </x:c>
      <x:c r="F19" s="2"/>
      <x:c r="G19" s="2"/>
    </x:row>
    <x:row r="21">
      <x:c r="A21" s="8" t="str">
        <x:v>Purified hundos</x:v>
      </x:c>
      <x:c r="B21" s="16" t="n">
        <x:f>SUM('IV Detail'!$I$2:$I$1001)</x:f>
        <x:v>1</x:v>
      </x:c>
      <x:c r="E21" s="8" t="str">
        <x:v>Purified hundos</x:v>
      </x:c>
      <x:c r="F21" s="16" t="n">
        <x:f>SUM('IV Detail'!$K$2:$K$1001)</x:f>
        <x:v>0</x:v>
      </x:c>
    </x:row>
    <x:row r="22">
      <x:c r="A22" s="8" t="str">
        <x:v>Matching IV spreads</x:v>
      </x:c>
      <x:c r="B22" s="16" t="n">
        <x:f>SUM('IV Detail'!$H$2:$H$1001)</x:f>
        <x:v>1</x:v>
      </x:c>
      <x:c r="E22" s="8" t="str">
        <x:v>Matching IV spreads</x:v>
      </x:c>
      <x:c r="F22" s="16" t="n">
        <x:f>SUM('IV Detail'!$J$2:$J$1001)</x:f>
        <x:v>0</x:v>
      </x:c>
    </x:row>
    <x:row r="23">
      <x:c r="A23" s="8" t="str">
        <x:v>Odds</x:v>
      </x:c>
      <x:c r="B23" s="17" t="n">
        <x:f>IF(B22=0,0,B21/B22)</x:f>
        <x:v>1</x:v>
      </x:c>
      <x:c r="E23" s="8" t="str">
        <x:v>Odds</x:v>
      </x:c>
      <x:c r="F23" s="17" t="n">
        <x:f>IF(F22=0,0,F21/F22)</x:f>
        <x:v>0</x:v>
      </x:c>
    </x:row>
    <x:row r="24">
      <x:c r="A24" s="8" t="str">
        <x:v>Verdict</x:v>
      </x:c>
      <x:c r="B24" s="16" t="str">
        <x:f>IF(B22=0,"CP not possible",IF(B21=0,"Possible CP, no purified hundo",IF(B21=B22,"Guaranteed purified hundo","Mixed odds")))</x:f>
        <x:v>Guaranteed purified hundo</x:v>
      </x:c>
      <x:c r="E24" s="8" t="str">
        <x:v>Verdict</x:v>
      </x:c>
      <x:c r="F24" s="16" t="str">
        <x:f>IF(F22=0,"CP not possible",IF(F21=0,"Possible CP, no purified hundo",IF(F21=F22,"Guaranteed purified hundo","Mixed odds")))</x:f>
        <x:v>CP not possible</x:v>
      </x:c>
    </x:row>
    <x:row r="25">
      <x:c r="A25" s="8" t="str">
        <x:v>Good / Total</x:v>
      </x:c>
      <x:c r="B25" s="16" t="str">
        <x:f>IF(B22=0,"-",TEXT(B21,"0")&amp;" / "&amp;TEXT(B22,"0"))</x:f>
        <x:v>1 / 1</x:v>
      </x:c>
      <x:c r="E25" s="8" t="str">
        <x:v>Good / Total</x:v>
      </x:c>
      <x:c r="F25" s="16" t="str">
        <x:f>IF(F22=0,"-",TEXT(F21,"0")&amp;" / "&amp;TEXT(F22,"0"))</x:f>
        <x:v>-</x:v>
      </x:c>
    </x:row>
    <x:row r="26" ht="31.5" customHeight="1">
      <x:c r="A26" s="8" t="str">
        <x:v>Matching IVs</x:v>
      </x:c>
      <x:c r="B26" s="16" t="str">
        <x:f>IF(B22=0,"No matching spreads",TEXTJOIN(", ",TRUE,FILTER('IV Detail'!$L$2:$L$1001,'IV Detail'!$H$2:$H$1001=1)))</x:f>
        <x:v>15/15/15</x:v>
      </x:c>
      <x:c r="E26" s="8" t="str">
        <x:v>Matching IVs</x:v>
      </x:c>
      <x:c r="F26" s="16" t="str">
        <x:f>IF(F22=0,"No matching spreads",TEXTJOIN(", ",TRUE,FILTER('IV Detail'!$L$2:$L$1001,'IV Detail'!$J$2:$J$1001=1)))</x:f>
        <x:v>No matching spreads</x:v>
      </x:c>
    </x:row>
    <x:row r="27" ht="31.5" customHeight="1">
      <x:c r="B27" s="16"/>
    </x:row>
    <x:row r="28" ht="31.5" customHeight="1">
      <x:c r="A28" s="8" t="str">
        <x:v>Level 20 purified-hundo IVs</x:v>
      </x:c>
      <x:c r="B28" s="16" t="str">
        <x:f>IF(B21=0,"None",TEXTJOIN(", ",TRUE,FILTER('IV Detail'!$L$2:$L$1001,'IV Detail'!$I$2:$I$1001=1)))</x:f>
        <x:v>15/15/15</x:v>
      </x:c>
    </x:row>
    <x:row r="29" ht="31.5" customHeight="1">
      <x:c r="A29" s="8" t="str">
        <x:v>Level 25 purified-hundo IVs</x:v>
      </x:c>
      <x:c r="B29" s="16" t="str">
        <x:f>IF(F21=0,"None",TEXTJOIN(", ",TRUE,FILTER('IV Detail'!$L$2:$L$1001,'IV Detail'!$K$2:$K$1001=1)))</x:f>
        <x:v>None</x:v>
      </x:c>
    </x:row>
  </x:sheetData>
  <x:mergeCells>
    <x:mergeCell ref="A1:H1"/>
    <x:mergeCell ref="D3:H3"/>
    <x:mergeCell ref="D4:H4"/>
    <x:mergeCell ref="D5:H5"/>
    <x:mergeCell ref="D6:H6"/>
    <x:mergeCell ref="D7:H7"/>
    <x:mergeCell ref="A19:C19"/>
    <x:mergeCell ref="E19:G19"/>
  </x:mergeCells>
  <x:conditionalFormatting sqref="B23:B23">
    <x:cfRule type="cellIs" dxfId="0" priority="1" operator="equal">
      <x:formula>1</x:formula>
    </x:cfRule>
    <x:cfRule type="cellIs" dxfId="1" priority="2" operator="between">
      <x:formula>0.00001</x:formula>
      <x:formula>0.99999</x:formula>
    </x:cfRule>
    <x:cfRule type="cellIs" dxfId="2" priority="3" operator="equal">
      <x:formula>0</x:formula>
    </x:cfRule>
  </x:conditionalFormatting>
  <x:conditionalFormatting sqref="F23:F23">
    <x:cfRule type="cellIs" dxfId="3" priority="4" operator="equal">
      <x:formula>1</x:formula>
    </x:cfRule>
    <x:cfRule type="cellIs" dxfId="4" priority="5" operator="between">
      <x:formula>0.00001</x:formula>
      <x:formula>0.99999</x:formula>
    </x:cfRule>
    <x:cfRule type="cellIs" dxfId="5" priority="6" operator="equal">
      <x:formula>0</x:formula>
    </x:cfRule>
  </x:conditionalFormatting>
  <x:dataValidations count="4">
    <x:dataValidation type="list" sqref="B3">
      <x:formula1>Bosses!$A$2:$A$70</x:formula1>
    </x:dataValidation>
    <x:dataValidation type="whole" operator="between" sqref="B4">
      <x:formula1>10</x:formula1>
      <x:formula2>6000</x:formula2>
    </x:dataValidation>
    <x:dataValidation type="whole" operator="between" sqref="B5">
      <x:formula1>6</x:formula1>
      <x:formula2>15</x:formula2>
    </x:dataValidation>
    <x:dataValidation type="whole" operator="between" sqref="B6">
      <x:formula1>0</x:formula1>
      <x:formula2>15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700000762939453" hidden="0" customWidth="1"/>
    <x:col min="2" max="2" width="12.880000114440918" hidden="0" customWidth="1"/>
    <x:col min="3" max="3" width="12.880000114440918" hidden="0" customWidth="1"/>
    <x:col min="4" max="4" width="12.880000114440918" hidden="0" customWidth="1"/>
  </x:cols>
  <x:sheetData>
    <x:row r="1">
      <x:c r="A1" s="2" t="str">
        <x:v>Pokemon</x:v>
      </x:c>
      <x:c r="B1" s="3" t="str">
        <x:v>Base Attack</x:v>
      </x:c>
      <x:c r="C1" s="3" t="str">
        <x:v>Base Defense</x:v>
      </x:c>
      <x:c r="D1" s="3" t="str">
        <x:v>Base Stamina</x:v>
      </x:c>
    </x:row>
    <x:row r="2">
      <x:c r="A2" t="str">
        <x:v>Articuno</x:v>
      </x:c>
      <x:c r="B2" t="n">
        <x:v>192</x:v>
      </x:c>
      <x:c r="C2" t="n">
        <x:v>236</x:v>
      </x:c>
      <x:c r="D2" t="n">
        <x:v>207</x:v>
      </x:c>
    </x:row>
    <x:row r="3">
      <x:c r="A3" t="str">
        <x:v>Articuno Galarian</x:v>
      </x:c>
      <x:c r="B3" t="n">
        <x:v>250</x:v>
      </x:c>
      <x:c r="C3" t="n">
        <x:v>197</x:v>
      </x:c>
      <x:c r="D3" t="n">
        <x:v>207</x:v>
      </x:c>
    </x:row>
    <x:row r="4">
      <x:c r="A4" t="str">
        <x:v>Azelf</x:v>
      </x:c>
      <x:c r="B4" t="n">
        <x:v>270</x:v>
      </x:c>
      <x:c r="C4" t="n">
        <x:v>151</x:v>
      </x:c>
      <x:c r="D4" t="n">
        <x:v>181</x:v>
      </x:c>
    </x:row>
    <x:row r="5">
      <x:c r="A5" t="str">
        <x:v>Cobalion</x:v>
      </x:c>
      <x:c r="B5" t="n">
        <x:v>192</x:v>
      </x:c>
      <x:c r="C5" t="n">
        <x:v>229</x:v>
      </x:c>
      <x:c r="D5" t="n">
        <x:v>209</x:v>
      </x:c>
    </x:row>
    <x:row r="6">
      <x:c r="A6" t="str">
        <x:v>Cresselia</x:v>
      </x:c>
      <x:c r="B6" t="n">
        <x:v>152</x:v>
      </x:c>
      <x:c r="C6" t="n">
        <x:v>258</x:v>
      </x:c>
      <x:c r="D6" t="n">
        <x:v>260</x:v>
      </x:c>
    </x:row>
    <x:row r="7">
      <x:c r="A7" t="str">
        <x:v>Darkrai</x:v>
      </x:c>
      <x:c r="B7" t="n">
        <x:v>285</x:v>
      </x:c>
      <x:c r="C7" t="n">
        <x:v>198</x:v>
      </x:c>
      <x:c r="D7" t="n">
        <x:v>172</x:v>
      </x:c>
    </x:row>
    <x:row r="8">
      <x:c r="A8" t="str">
        <x:v>Deoxys Attack</x:v>
      </x:c>
      <x:c r="B8" t="n">
        <x:v>414</x:v>
      </x:c>
      <x:c r="C8" t="n">
        <x:v>46</x:v>
      </x:c>
      <x:c r="D8" t="n">
        <x:v>137</x:v>
      </x:c>
    </x:row>
    <x:row r="9">
      <x:c r="A9" t="str">
        <x:v>Deoxys Defense</x:v>
      </x:c>
      <x:c r="B9" t="n">
        <x:v>144</x:v>
      </x:c>
      <x:c r="C9" t="n">
        <x:v>330</x:v>
      </x:c>
      <x:c r="D9" t="n">
        <x:v>137</x:v>
      </x:c>
    </x:row>
    <x:row r="10">
      <x:c r="A10" t="str">
        <x:v>Deoxys Normal</x:v>
      </x:c>
      <x:c r="B10" t="n">
        <x:v>345</x:v>
      </x:c>
      <x:c r="C10" t="n">
        <x:v>115</x:v>
      </x:c>
      <x:c r="D10" t="n">
        <x:v>137</x:v>
      </x:c>
    </x:row>
    <x:row r="11">
      <x:c r="A11" t="str">
        <x:v>Deoxys Speed</x:v>
      </x:c>
      <x:c r="B11" t="n">
        <x:v>230</x:v>
      </x:c>
      <x:c r="C11" t="n">
        <x:v>218</x:v>
      </x:c>
      <x:c r="D11" t="n">
        <x:v>137</x:v>
      </x:c>
    </x:row>
    <x:row r="12">
      <x:c r="A12" t="str">
        <x:v>Dialga</x:v>
      </x:c>
      <x:c r="B12" t="n">
        <x:v>275</x:v>
      </x:c>
      <x:c r="C12" t="n">
        <x:v>211</x:v>
      </x:c>
      <x:c r="D12" t="n">
        <x:v>205</x:v>
      </x:c>
    </x:row>
    <x:row r="13">
      <x:c r="A13" t="str">
        <x:v>Dialga Origin</x:v>
      </x:c>
      <x:c r="B13" t="n">
        <x:v>270</x:v>
      </x:c>
      <x:c r="C13" t="n">
        <x:v>225</x:v>
      </x:c>
      <x:c r="D13" t="n">
        <x:v>205</x:v>
      </x:c>
    </x:row>
    <x:row r="14">
      <x:c r="A14" t="str">
        <x:v>Entei</x:v>
      </x:c>
      <x:c r="B14" t="n">
        <x:v>235</x:v>
      </x:c>
      <x:c r="C14" t="n">
        <x:v>171</x:v>
      </x:c>
      <x:c r="D14" t="n">
        <x:v>251</x:v>
      </x:c>
    </x:row>
    <x:row r="15">
      <x:c r="A15" t="str">
        <x:v>Genesect</x:v>
      </x:c>
      <x:c r="B15" t="n">
        <x:v>252</x:v>
      </x:c>
      <x:c r="C15" t="n">
        <x:v>199</x:v>
      </x:c>
      <x:c r="D15" t="n">
        <x:v>174</x:v>
      </x:c>
    </x:row>
    <x:row r="16">
      <x:c r="A16" t="str">
        <x:v>Giratina Altered</x:v>
      </x:c>
      <x:c r="B16" t="n">
        <x:v>187</x:v>
      </x:c>
      <x:c r="C16" t="n">
        <x:v>225</x:v>
      </x:c>
      <x:c r="D16" t="n">
        <x:v>284</x:v>
      </x:c>
    </x:row>
    <x:row r="17">
      <x:c r="A17" t="str">
        <x:v>Giratina Origin</x:v>
      </x:c>
      <x:c r="B17" t="n">
        <x:v>225</x:v>
      </x:c>
      <x:c r="C17" t="n">
        <x:v>187</x:v>
      </x:c>
      <x:c r="D17" t="n">
        <x:v>284</x:v>
      </x:c>
    </x:row>
    <x:row r="18">
      <x:c r="A18" t="str">
        <x:v>Groudon</x:v>
      </x:c>
      <x:c r="B18" t="n">
        <x:v>270</x:v>
      </x:c>
      <x:c r="C18" t="n">
        <x:v>228</x:v>
      </x:c>
      <x:c r="D18" t="n">
        <x:v>205</x:v>
      </x:c>
    </x:row>
    <x:row r="19">
      <x:c r="A19" t="str">
        <x:v>Heatran</x:v>
      </x:c>
      <x:c r="B19" t="n">
        <x:v>251</x:v>
      </x:c>
      <x:c r="C19" t="n">
        <x:v>213</x:v>
      </x:c>
      <x:c r="D19" t="n">
        <x:v>209</x:v>
      </x:c>
    </x:row>
    <x:row r="20">
      <x:c r="A20" t="str">
        <x:v>Ho-Oh</x:v>
      </x:c>
      <x:c r="B20" t="n">
        <x:v>239</x:v>
      </x:c>
      <x:c r="C20" t="n">
        <x:v>244</x:v>
      </x:c>
      <x:c r="D20" t="n">
        <x:v>214</x:v>
      </x:c>
    </x:row>
    <x:row r="21">
      <x:c r="A21" t="str">
        <x:v>Hoopa Confined</x:v>
      </x:c>
      <x:c r="B21" t="n">
        <x:v>261</x:v>
      </x:c>
      <x:c r="C21" t="n">
        <x:v>187</x:v>
      </x:c>
      <x:c r="D21" t="n">
        <x:v>173</x:v>
      </x:c>
    </x:row>
    <x:row r="22">
      <x:c r="A22" t="str">
        <x:v>Hoopa Unbound</x:v>
      </x:c>
      <x:c r="B22" t="n">
        <x:v>311</x:v>
      </x:c>
      <x:c r="C22" t="n">
        <x:v>191</x:v>
      </x:c>
      <x:c r="D22" t="n">
        <x:v>173</x:v>
      </x:c>
    </x:row>
    <x:row r="23">
      <x:c r="A23" t="str">
        <x:v>Kyogre</x:v>
      </x:c>
      <x:c r="B23" t="n">
        <x:v>270</x:v>
      </x:c>
      <x:c r="C23" t="n">
        <x:v>228</x:v>
      </x:c>
      <x:c r="D23" t="n">
        <x:v>205</x:v>
      </x:c>
    </x:row>
    <x:row r="24">
      <x:c r="A24" t="str">
        <x:v>Kyurem</x:v>
      </x:c>
      <x:c r="B24" t="n">
        <x:v>246</x:v>
      </x:c>
      <x:c r="C24" t="n">
        <x:v>170</x:v>
      </x:c>
      <x:c r="D24" t="n">
        <x:v>245</x:v>
      </x:c>
    </x:row>
    <x:row r="25">
      <x:c r="A25" t="str">
        <x:v>Kyurem Black</x:v>
      </x:c>
      <x:c r="B25" t="n">
        <x:v>310</x:v>
      </x:c>
      <x:c r="C25" t="n">
        <x:v>183</x:v>
      </x:c>
      <x:c r="D25" t="n">
        <x:v>245</x:v>
      </x:c>
    </x:row>
    <x:row r="26">
      <x:c r="A26" t="str">
        <x:v>Kyurem White</x:v>
      </x:c>
      <x:c r="B26" t="n">
        <x:v>310</x:v>
      </x:c>
      <x:c r="C26" t="n">
        <x:v>183</x:v>
      </x:c>
      <x:c r="D26" t="n">
        <x:v>245</x:v>
      </x:c>
    </x:row>
    <x:row r="27">
      <x:c r="A27" t="str">
        <x:v>Landorus Incarnate</x:v>
      </x:c>
      <x:c r="B27" t="n">
        <x:v>261</x:v>
      </x:c>
      <x:c r="C27" t="n">
        <x:v>182</x:v>
      </x:c>
      <x:c r="D27" t="n">
        <x:v>205</x:v>
      </x:c>
    </x:row>
    <x:row r="28">
      <x:c r="A28" t="str">
        <x:v>Landorus Therian</x:v>
      </x:c>
      <x:c r="B28" t="n">
        <x:v>289</x:v>
      </x:c>
      <x:c r="C28" t="n">
        <x:v>179</x:v>
      </x:c>
      <x:c r="D28" t="n">
        <x:v>205</x:v>
      </x:c>
    </x:row>
    <x:row r="29">
      <x:c r="A29" t="str">
        <x:v>Latias</x:v>
      </x:c>
      <x:c r="B29" t="n">
        <x:v>228</x:v>
      </x:c>
      <x:c r="C29" t="n">
        <x:v>246</x:v>
      </x:c>
      <x:c r="D29" t="n">
        <x:v>190</x:v>
      </x:c>
    </x:row>
    <x:row r="30">
      <x:c r="A30" t="str">
        <x:v>Latios</x:v>
      </x:c>
      <x:c r="B30" t="n">
        <x:v>268</x:v>
      </x:c>
      <x:c r="C30" t="n">
        <x:v>212</x:v>
      </x:c>
      <x:c r="D30" t="n">
        <x:v>190</x:v>
      </x:c>
    </x:row>
    <x:row r="31">
      <x:c r="A31" t="str">
        <x:v>Lugia</x:v>
      </x:c>
      <x:c r="B31" t="n">
        <x:v>193</x:v>
      </x:c>
      <x:c r="C31" t="n">
        <x:v>310</x:v>
      </x:c>
      <x:c r="D31" t="n">
        <x:v>235</x:v>
      </x:c>
    </x:row>
    <x:row r="32">
      <x:c r="A32" t="str">
        <x:v>Lunala</x:v>
      </x:c>
      <x:c r="B32" t="n">
        <x:v>255</x:v>
      </x:c>
      <x:c r="C32" t="n">
        <x:v>191</x:v>
      </x:c>
      <x:c r="D32" t="n">
        <x:v>264</x:v>
      </x:c>
    </x:row>
    <x:row r="33">
      <x:c r="A33" t="str">
        <x:v>Mesprit</x:v>
      </x:c>
      <x:c r="B33" t="n">
        <x:v>212</x:v>
      </x:c>
      <x:c r="C33" t="n">
        <x:v>212</x:v>
      </x:c>
      <x:c r="D33" t="n">
        <x:v>190</x:v>
      </x:c>
    </x:row>
    <x:row r="34">
      <x:c r="A34" t="str">
        <x:v>Mewtwo</x:v>
      </x:c>
      <x:c r="B34" t="n">
        <x:v>300</x:v>
      </x:c>
      <x:c r="C34" t="n">
        <x:v>182</x:v>
      </x:c>
      <x:c r="D34" t="n">
        <x:v>214</x:v>
      </x:c>
    </x:row>
    <x:row r="35">
      <x:c r="A35" t="str">
        <x:v>Moltres</x:v>
      </x:c>
      <x:c r="B35" t="n">
        <x:v>251</x:v>
      </x:c>
      <x:c r="C35" t="n">
        <x:v>181</x:v>
      </x:c>
      <x:c r="D35" t="n">
        <x:v>207</x:v>
      </x:c>
    </x:row>
    <x:row r="36">
      <x:c r="A36" t="str">
        <x:v>Moltres Galarian</x:v>
      </x:c>
      <x:c r="B36" t="n">
        <x:v>202</x:v>
      </x:c>
      <x:c r="C36" t="n">
        <x:v>231</x:v>
      </x:c>
      <x:c r="D36" t="n">
        <x:v>207</x:v>
      </x:c>
    </x:row>
    <x:row r="37">
      <x:c r="A37" t="str">
        <x:v>Necrozma</x:v>
      </x:c>
      <x:c r="B37" t="n">
        <x:v>251</x:v>
      </x:c>
      <x:c r="C37" t="n">
        <x:v>195</x:v>
      </x:c>
      <x:c r="D37" t="n">
        <x:v>219</x:v>
      </x:c>
    </x:row>
    <x:row r="38">
      <x:c r="A38" t="str">
        <x:v>Necrozma Dawn Wings</x:v>
      </x:c>
      <x:c r="B38" t="n">
        <x:v>277</x:v>
      </x:c>
      <x:c r="C38" t="n">
        <x:v>220</x:v>
      </x:c>
      <x:c r="D38" t="n">
        <x:v>200</x:v>
      </x:c>
    </x:row>
    <x:row r="39">
      <x:c r="A39" t="str">
        <x:v>Necrozma Dusk Mane</x:v>
      </x:c>
      <x:c r="B39" t="n">
        <x:v>277</x:v>
      </x:c>
      <x:c r="C39" t="n">
        <x:v>220</x:v>
      </x:c>
      <x:c r="D39" t="n">
        <x:v>200</x:v>
      </x:c>
    </x:row>
    <x:row r="40">
      <x:c r="A40" t="str">
        <x:v>Palkia</x:v>
      </x:c>
      <x:c r="B40" t="n">
        <x:v>280</x:v>
      </x:c>
      <x:c r="C40" t="n">
        <x:v>215</x:v>
      </x:c>
      <x:c r="D40" t="n">
        <x:v>189</x:v>
      </x:c>
    </x:row>
    <x:row r="41">
      <x:c r="A41" t="str">
        <x:v>Palkia Origin</x:v>
      </x:c>
      <x:c r="B41" t="n">
        <x:v>286</x:v>
      </x:c>
      <x:c r="C41" t="n">
        <x:v>223</x:v>
      </x:c>
      <x:c r="D41" t="n">
        <x:v>189</x:v>
      </x:c>
    </x:row>
    <x:row r="42">
      <x:c r="A42" t="str">
        <x:v>Raikou</x:v>
      </x:c>
      <x:c r="B42" t="n">
        <x:v>241</x:v>
      </x:c>
      <x:c r="C42" t="n">
        <x:v>195</x:v>
      </x:c>
      <x:c r="D42" t="n">
        <x:v>207</x:v>
      </x:c>
    </x:row>
    <x:row r="43">
      <x:c r="A43" t="str">
        <x:v>Rayquaza</x:v>
      </x:c>
      <x:c r="B43" t="n">
        <x:v>284</x:v>
      </x:c>
      <x:c r="C43" t="n">
        <x:v>170</x:v>
      </x:c>
      <x:c r="D43" t="n">
        <x:v>213</x:v>
      </x:c>
    </x:row>
    <x:row r="44">
      <x:c r="A44" t="str">
        <x:v>Regice</x:v>
      </x:c>
      <x:c r="B44" t="n">
        <x:v>179</x:v>
      </x:c>
      <x:c r="C44" t="n">
        <x:v>309</x:v>
      </x:c>
      <x:c r="D44" t="n">
        <x:v>190</x:v>
      </x:c>
    </x:row>
    <x:row r="45">
      <x:c r="A45" t="str">
        <x:v>Regidrago</x:v>
      </x:c>
      <x:c r="B45" t="n">
        <x:v>202</x:v>
      </x:c>
      <x:c r="C45" t="n">
        <x:v>101</x:v>
      </x:c>
      <x:c r="D45" t="n">
        <x:v>400</x:v>
      </x:c>
    </x:row>
    <x:row r="46">
      <x:c r="A46" t="str">
        <x:v>Regieleki</x:v>
      </x:c>
      <x:c r="B46" t="n">
        <x:v>250</x:v>
      </x:c>
      <x:c r="C46" t="n">
        <x:v>125</x:v>
      </x:c>
      <x:c r="D46" t="n">
        <x:v>190</x:v>
      </x:c>
    </x:row>
    <x:row r="47">
      <x:c r="A47" t="str">
        <x:v>Regigigas</x:v>
      </x:c>
      <x:c r="B47" t="n">
        <x:v>287</x:v>
      </x:c>
      <x:c r="C47" t="n">
        <x:v>210</x:v>
      </x:c>
      <x:c r="D47" t="n">
        <x:v>221</x:v>
      </x:c>
    </x:row>
    <x:row r="48">
      <x:c r="A48" t="str">
        <x:v>Regirock</x:v>
      </x:c>
      <x:c r="B48" t="n">
        <x:v>179</x:v>
      </x:c>
      <x:c r="C48" t="n">
        <x:v>309</x:v>
      </x:c>
      <x:c r="D48" t="n">
        <x:v>190</x:v>
      </x:c>
    </x:row>
    <x:row r="49">
      <x:c r="A49" t="str">
        <x:v>Registeel</x:v>
      </x:c>
      <x:c r="B49" t="n">
        <x:v>143</x:v>
      </x:c>
      <x:c r="C49" t="n">
        <x:v>285</x:v>
      </x:c>
      <x:c r="D49" t="n">
        <x:v>190</x:v>
      </x:c>
    </x:row>
    <x:row r="50">
      <x:c r="A50" t="str">
        <x:v>Reshiram</x:v>
      </x:c>
      <x:c r="B50" t="n">
        <x:v>275</x:v>
      </x:c>
      <x:c r="C50" t="n">
        <x:v>211</x:v>
      </x:c>
      <x:c r="D50" t="n">
        <x:v>205</x:v>
      </x:c>
    </x:row>
    <x:row r="51">
      <x:c r="A51" t="str">
        <x:v>Solgaleo</x:v>
      </x:c>
      <x:c r="B51" t="n">
        <x:v>255</x:v>
      </x:c>
      <x:c r="C51" t="n">
        <x:v>191</x:v>
      </x:c>
      <x:c r="D51" t="n">
        <x:v>264</x:v>
      </x:c>
    </x:row>
    <x:row r="52">
      <x:c r="A52" t="str">
        <x:v>Suicune</x:v>
      </x:c>
      <x:c r="B52" t="n">
        <x:v>180</x:v>
      </x:c>
      <x:c r="C52" t="n">
        <x:v>235</x:v>
      </x:c>
      <x:c r="D52" t="n">
        <x:v>225</x:v>
      </x:c>
    </x:row>
    <x:row r="53">
      <x:c r="A53" t="str">
        <x:v>Tapu Bulu</x:v>
      </x:c>
      <x:c r="B53" t="n">
        <x:v>249</x:v>
      </x:c>
      <x:c r="C53" t="n">
        <x:v>215</x:v>
      </x:c>
      <x:c r="D53" t="n">
        <x:v>172</x:v>
      </x:c>
    </x:row>
    <x:row r="54">
      <x:c r="A54" t="str">
        <x:v>Tapu Fini</x:v>
      </x:c>
      <x:c r="B54" t="n">
        <x:v>189</x:v>
      </x:c>
      <x:c r="C54" t="n">
        <x:v>254</x:v>
      </x:c>
      <x:c r="D54" t="n">
        <x:v>172</x:v>
      </x:c>
    </x:row>
    <x:row r="55">
      <x:c r="A55" t="str">
        <x:v>Tapu Koko</x:v>
      </x:c>
      <x:c r="B55" t="n">
        <x:v>250</x:v>
      </x:c>
      <x:c r="C55" t="n">
        <x:v>181</x:v>
      </x:c>
      <x:c r="D55" t="n">
        <x:v>172</x:v>
      </x:c>
    </x:row>
    <x:row r="56">
      <x:c r="A56" t="str">
        <x:v>Tapu Lele</x:v>
      </x:c>
      <x:c r="B56" t="n">
        <x:v>259</x:v>
      </x:c>
      <x:c r="C56" t="n">
        <x:v>208</x:v>
      </x:c>
      <x:c r="D56" t="n">
        <x:v>172</x:v>
      </x:c>
    </x:row>
    <x:row r="57">
      <x:c r="A57" t="str">
        <x:v>Terrakion</x:v>
      </x:c>
      <x:c r="B57" t="n">
        <x:v>260</x:v>
      </x:c>
      <x:c r="C57" t="n">
        <x:v>192</x:v>
      </x:c>
      <x:c r="D57" t="n">
        <x:v>209</x:v>
      </x:c>
    </x:row>
    <x:row r="58">
      <x:c r="A58" t="str">
        <x:v>Thundurus Incarnate</x:v>
      </x:c>
      <x:c r="B58" t="n">
        <x:v>266</x:v>
      </x:c>
      <x:c r="C58" t="n">
        <x:v>164</x:v>
      </x:c>
      <x:c r="D58" t="n">
        <x:v>188</x:v>
      </x:c>
    </x:row>
    <x:row r="59">
      <x:c r="A59" t="str">
        <x:v>Thundurus Therian</x:v>
      </x:c>
      <x:c r="B59" t="n">
        <x:v>295</x:v>
      </x:c>
      <x:c r="C59" t="n">
        <x:v>161</x:v>
      </x:c>
      <x:c r="D59" t="n">
        <x:v>188</x:v>
      </x:c>
    </x:row>
    <x:row r="60">
      <x:c r="A60" t="str">
        <x:v>Tornadus Incarnate</x:v>
      </x:c>
      <x:c r="B60" t="n">
        <x:v>266</x:v>
      </x:c>
      <x:c r="C60" t="n">
        <x:v>164</x:v>
      </x:c>
      <x:c r="D60" t="n">
        <x:v>188</x:v>
      </x:c>
    </x:row>
    <x:row r="61">
      <x:c r="A61" t="str">
        <x:v>Tornadus Therian</x:v>
      </x:c>
      <x:c r="B61" t="n">
        <x:v>238</x:v>
      </x:c>
      <x:c r="C61" t="n">
        <x:v>189</x:v>
      </x:c>
      <x:c r="D61" t="n">
        <x:v>188</x:v>
      </x:c>
    </x:row>
    <x:row r="62">
      <x:c r="A62" t="str">
        <x:v>Uxie</x:v>
      </x:c>
      <x:c r="B62" t="n">
        <x:v>156</x:v>
      </x:c>
      <x:c r="C62" t="n">
        <x:v>270</x:v>
      </x:c>
      <x:c r="D62" t="n">
        <x:v>181</x:v>
      </x:c>
    </x:row>
    <x:row r="63">
      <x:c r="A63" t="str">
        <x:v>Virizion</x:v>
      </x:c>
      <x:c r="B63" t="n">
        <x:v>192</x:v>
      </x:c>
      <x:c r="C63" t="n">
        <x:v>229</x:v>
      </x:c>
      <x:c r="D63" t="n">
        <x:v>209</x:v>
      </x:c>
    </x:row>
    <x:row r="64">
      <x:c r="A64" t="str">
        <x:v>Xerneas</x:v>
      </x:c>
      <x:c r="B64" t="n">
        <x:v>250</x:v>
      </x:c>
      <x:c r="C64" t="n">
        <x:v>185</x:v>
      </x:c>
      <x:c r="D64" t="n">
        <x:v>246</x:v>
      </x:c>
    </x:row>
    <x:row r="65">
      <x:c r="A65" t="str">
        <x:v>Yveltal</x:v>
      </x:c>
      <x:c r="B65" t="n">
        <x:v>250</x:v>
      </x:c>
      <x:c r="C65" t="n">
        <x:v>185</x:v>
      </x:c>
      <x:c r="D65" t="n">
        <x:v>246</x:v>
      </x:c>
    </x:row>
    <x:row r="66">
      <x:c r="A66" t="str">
        <x:v>Zacian Hero</x:v>
      </x:c>
      <x:c r="B66" t="n">
        <x:v>254</x:v>
      </x:c>
      <x:c r="C66" t="n">
        <x:v>236</x:v>
      </x:c>
      <x:c r="D66" t="n">
        <x:v>192</x:v>
      </x:c>
    </x:row>
    <x:row r="67">
      <x:c r="A67" t="str">
        <x:v>Zamazenta Hero</x:v>
      </x:c>
      <x:c r="B67" t="n">
        <x:v>254</x:v>
      </x:c>
      <x:c r="C67" t="n">
        <x:v>236</x:v>
      </x:c>
      <x:c r="D67" t="n">
        <x:v>192</x:v>
      </x:c>
    </x:row>
    <x:row r="68">
      <x:c r="A68" t="str">
        <x:v>Zapdos</x:v>
      </x:c>
      <x:c r="B68" t="n">
        <x:v>253</x:v>
      </x:c>
      <x:c r="C68" t="n">
        <x:v>185</x:v>
      </x:c>
      <x:c r="D68" t="n">
        <x:v>207</x:v>
      </x:c>
    </x:row>
    <x:row r="69">
      <x:c r="A69" t="str">
        <x:v>Zapdos Galarian</x:v>
      </x:c>
      <x:c r="B69" t="n">
        <x:v>252</x:v>
      </x:c>
      <x:c r="C69" t="n">
        <x:v>189</x:v>
      </x:c>
      <x:c r="D69" t="n">
        <x:v>207</x:v>
      </x:c>
    </x:row>
    <x:row r="70">
      <x:c r="A70" t="str">
        <x:v>Zekrom</x:v>
      </x:c>
      <x:c r="B70" t="n">
        <x:v>275</x:v>
      </x:c>
      <x:c r="C70" t="n">
        <x:v>211</x:v>
      </x:c>
      <x:c r="D70" t="n">
        <x:v>205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670000076293945" hidden="0" customWidth="1"/>
    <x:col min="2" max="2" width="10.670000076293945" hidden="0" customWidth="1"/>
    <x:col min="3" max="3" width="10.670000076293945" hidden="0" customWidth="1"/>
    <x:col min="4" max="4" width="10.670000076293945" hidden="0" customWidth="1"/>
    <x:col min="5" max="5" width="10.670000076293945" hidden="0" customWidth="1"/>
    <x:col min="6" max="6" width="10.670000076293945" hidden="0" customWidth="1"/>
    <x:col min="7" max="7" width="10.670000076293945" hidden="0" customWidth="1"/>
    <x:col min="8" max="8" width="10.670000076293945" hidden="0" customWidth="1"/>
    <x:col min="9" max="9" width="10.670000076293945" hidden="0" customWidth="1"/>
    <x:col min="10" max="10" width="10.670000076293945" hidden="0" customWidth="1"/>
    <x:col min="11" max="11" width="10.670000076293945" hidden="0" customWidth="1"/>
    <x:col min="12" max="12" width="10.670000076293945" hidden="0" customWidth="1"/>
    <x:col min="13" max="13" width="10.670000076293945" hidden="0" customWidth="1"/>
  </x:cols>
  <x:sheetData>
    <x:row r="1">
      <x:c r="A1" s="5" t="str">
        <x:v>Atk IV</x:v>
      </x:c>
      <x:c r="B1" s="5" t="str">
        <x:v>Def IV</x:v>
      </x:c>
      <x:c r="C1" s="5" t="str">
        <x:v>HP IV</x:v>
      </x:c>
      <x:c r="D1" s="6" t="str">
        <x:v>Level 20 CP</x:v>
      </x:c>
      <x:c r="E1" s="6" t="str">
        <x:v>Level 25 CP</x:v>
      </x:c>
      <x:c r="F1" s="6" t="str">
        <x:v>In Floor</x:v>
      </x:c>
      <x:c r="G1" s="6" t="str">
        <x:v>Purifies</x:v>
      </x:c>
      <x:c r="H1" s="6" t="str">
        <x:v>L20 Match</x:v>
      </x:c>
      <x:c r="I1" s="6" t="str">
        <x:v>L20 Hundo</x:v>
      </x:c>
      <x:c r="J1" s="6" t="str">
        <x:v>L25 Match</x:v>
      </x:c>
      <x:c r="K1" s="6" t="str">
        <x:v>L25 Hundo</x:v>
      </x:c>
      <x:c r="L1" s="5" t="str">
        <x:v>IV Spread</x:v>
      </x:c>
      <x:c r="M1" s="5" t="str">
        <x:v>Purified Spread</x:v>
      </x:c>
    </x:row>
    <x:row r="2">
      <x:c r="A2" t="n">
        <x:v>6</x:v>
      </x:c>
      <x:c r="B2" t="n">
        <x:v>6</x:v>
      </x:c>
      <x:c r="C2" t="n">
        <x:v>6</x:v>
      </x:c>
      <x:c r="D2" t="n">
        <x:f>MAX(10,ROUNDDOWN((('Calculator'!$B$10+A2)*SQRT('Calculator'!$B$11+B2)*SQRT('Calculator'!$B$12+C2)*0.59740001^2)/10,0))</x:f>
        <x:v>2220</x:v>
      </x:c>
      <x:c r="E2" t="n">
        <x:f>MAX(10,ROUNDDOWN((('Calculator'!$B$10+A2)*SQRT('Calculator'!$B$11+B2)*SQRT('Calculator'!$B$12+C2)*0.667934^2)/10,0))</x:f>
        <x:v>2776</x:v>
      </x:c>
      <x:c r="F2" t="n">
        <x:f>--AND(A2&gt;='Calculator'!$B$5,B2&gt;='Calculator'!$B$5,C2&gt;='Calculator'!$B$5)</x:f>
        <x:v>1</x:v>
      </x:c>
      <x:c r="G2" t="n">
        <x:f>--AND(A2+'Calculator'!$B$6&gt;=15,B2+'Calculator'!$B$6&gt;=15,C2+'Calculator'!$B$6&gt;=15)</x:f>
        <x:v>0</x:v>
      </x:c>
      <x:c r="H2" t="n">
        <x:f>--AND(F2=1,D2='Calculator'!$B$4)</x:f>
        <x:v>0</x:v>
      </x:c>
      <x:c r="I2" t="n">
        <x:f>--AND(H2=1,G2=1)</x:f>
        <x:v>0</x:v>
      </x:c>
      <x:c r="J2" t="n">
        <x:f>--AND(F2=1,E2='Calculator'!$B$4)</x:f>
        <x:v>0</x:v>
      </x:c>
      <x:c r="K2" t="n">
        <x:f>--AND(J2=1,G2=1)</x:f>
        <x:v>0</x:v>
      </x:c>
      <x:c r="L2" t="str">
        <x:f>A2&amp;"/"&amp;B2&amp;"/"&amp;C2</x:f>
        <x:v>6/6/6</x:v>
      </x:c>
      <x:c r="M2" t="str">
        <x:f>MIN(15,A2+'Calculator'!$B$6)&amp;"/"&amp;MIN(15,B2+'Calculator'!$B$6)&amp;"/"&amp;MIN(15,C2+'Calculator'!$B$6)</x:f>
        <x:v>8/8/8</x:v>
      </x:c>
    </x:row>
    <x:row r="3">
      <x:c r="A3" t="n">
        <x:v>6</x:v>
      </x:c>
      <x:c r="B3" t="n">
        <x:v>6</x:v>
      </x:c>
      <x:c r="C3" t="n">
        <x:v>7</x:v>
      </x:c>
      <x:c r="D3" t="n">
        <x:f>MAX(10,ROUNDDOWN((('Calculator'!$B$10+A3)*SQRT('Calculator'!$B$11+B3)*SQRT('Calculator'!$B$12+C3)*0.59740001^2)/10,0))</x:f>
        <x:v>2226</x:v>
      </x:c>
      <x:c r="E3" t="n">
        <x:f>MAX(10,ROUNDDOWN((('Calculator'!$B$10+A3)*SQRT('Calculator'!$B$11+B3)*SQRT('Calculator'!$B$12+C3)*0.667934^2)/10,0))</x:f>
        <x:v>2782</x:v>
      </x:c>
      <x:c r="F3" t="n">
        <x:f>--AND(A3&gt;='Calculator'!$B$5,B3&gt;='Calculator'!$B$5,C3&gt;='Calculator'!$B$5)</x:f>
        <x:v>1</x:v>
      </x:c>
      <x:c r="G3" t="n">
        <x:f>--AND(A3+'Calculator'!$B$6&gt;=15,B3+'Calculator'!$B$6&gt;=15,C3+'Calculator'!$B$6&gt;=15)</x:f>
        <x:v>0</x:v>
      </x:c>
      <x:c r="H3" t="n">
        <x:f>--AND(F3=1,D3='Calculator'!$B$4)</x:f>
        <x:v>0</x:v>
      </x:c>
      <x:c r="I3" t="n">
        <x:f>--AND(H3=1,G3=1)</x:f>
        <x:v>0</x:v>
      </x:c>
      <x:c r="J3" t="n">
        <x:f>--AND(F3=1,E3='Calculator'!$B$4)</x:f>
        <x:v>0</x:v>
      </x:c>
      <x:c r="K3" t="n">
        <x:f>--AND(J3=1,G3=1)</x:f>
        <x:v>0</x:v>
      </x:c>
      <x:c r="L3" t="str">
        <x:f>A3&amp;"/"&amp;B3&amp;"/"&amp;C3</x:f>
        <x:v>6/6/7</x:v>
      </x:c>
      <x:c r="M3" t="str">
        <x:f>MIN(15,A3+'Calculator'!$B$6)&amp;"/"&amp;MIN(15,B3+'Calculator'!$B$6)&amp;"/"&amp;MIN(15,C3+'Calculator'!$B$6)</x:f>
        <x:v>8/8/9</x:v>
      </x:c>
    </x:row>
    <x:row r="4">
      <x:c r="A4" t="n">
        <x:v>6</x:v>
      </x:c>
      <x:c r="B4" t="n">
        <x:v>6</x:v>
      </x:c>
      <x:c r="C4" t="n">
        <x:v>8</x:v>
      </x:c>
      <x:c r="D4" t="n">
        <x:f>MAX(10,ROUNDDOWN((('Calculator'!$B$10+A4)*SQRT('Calculator'!$B$11+B4)*SQRT('Calculator'!$B$12+C4)*0.59740001^2)/10,0))</x:f>
        <x:v>2231</x:v>
      </x:c>
      <x:c r="E4" t="n">
        <x:f>MAX(10,ROUNDDOWN((('Calculator'!$B$10+A4)*SQRT('Calculator'!$B$11+B4)*SQRT('Calculator'!$B$12+C4)*0.667934^2)/10,0))</x:f>
        <x:v>2788</x:v>
      </x:c>
      <x:c r="F4" t="n">
        <x:f>--AND(A4&gt;='Calculator'!$B$5,B4&gt;='Calculator'!$B$5,C4&gt;='Calculator'!$B$5)</x:f>
        <x:v>1</x:v>
      </x:c>
      <x:c r="G4" t="n">
        <x:f>--AND(A4+'Calculator'!$B$6&gt;=15,B4+'Calculator'!$B$6&gt;=15,C4+'Calculator'!$B$6&gt;=15)</x:f>
        <x:v>0</x:v>
      </x:c>
      <x:c r="H4" t="n">
        <x:f>--AND(F4=1,D4='Calculator'!$B$4)</x:f>
        <x:v>0</x:v>
      </x:c>
      <x:c r="I4" t="n">
        <x:f>--AND(H4=1,G4=1)</x:f>
        <x:v>0</x:v>
      </x:c>
      <x:c r="J4" t="n">
        <x:f>--AND(F4=1,E4='Calculator'!$B$4)</x:f>
        <x:v>0</x:v>
      </x:c>
      <x:c r="K4" t="n">
        <x:f>--AND(J4=1,G4=1)</x:f>
        <x:v>0</x:v>
      </x:c>
      <x:c r="L4" t="str">
        <x:f>A4&amp;"/"&amp;B4&amp;"/"&amp;C4</x:f>
        <x:v>6/6/8</x:v>
      </x:c>
      <x:c r="M4" t="str">
        <x:f>MIN(15,A4+'Calculator'!$B$6)&amp;"/"&amp;MIN(15,B4+'Calculator'!$B$6)&amp;"/"&amp;MIN(15,C4+'Calculator'!$B$6)</x:f>
        <x:v>8/8/10</x:v>
      </x:c>
    </x:row>
    <x:row r="5">
      <x:c r="A5" t="n">
        <x:v>6</x:v>
      </x:c>
      <x:c r="B5" t="n">
        <x:v>6</x:v>
      </x:c>
      <x:c r="C5" t="n">
        <x:v>9</x:v>
      </x:c>
      <x:c r="D5" t="n">
        <x:f>MAX(10,ROUNDDOWN((('Calculator'!$B$10+A5)*SQRT('Calculator'!$B$11+B5)*SQRT('Calculator'!$B$12+C5)*0.59740001^2)/10,0))</x:f>
        <x:v>2236</x:v>
      </x:c>
      <x:c r="E5" t="n">
        <x:f>MAX(10,ROUNDDOWN((('Calculator'!$B$10+A5)*SQRT('Calculator'!$B$11+B5)*SQRT('Calculator'!$B$12+C5)*0.667934^2)/10,0))</x:f>
        <x:v>2795</x:v>
      </x:c>
      <x:c r="F5" t="n">
        <x:f>--AND(A5&gt;='Calculator'!$B$5,B5&gt;='Calculator'!$B$5,C5&gt;='Calculator'!$B$5)</x:f>
        <x:v>1</x:v>
      </x:c>
      <x:c r="G5" t="n">
        <x:f>--AND(A5+'Calculator'!$B$6&gt;=15,B5+'Calculator'!$B$6&gt;=15,C5+'Calculator'!$B$6&gt;=15)</x:f>
        <x:v>0</x:v>
      </x:c>
      <x:c r="H5" t="n">
        <x:f>--AND(F5=1,D5='Calculator'!$B$4)</x:f>
        <x:v>0</x:v>
      </x:c>
      <x:c r="I5" t="n">
        <x:f>--AND(H5=1,G5=1)</x:f>
        <x:v>0</x:v>
      </x:c>
      <x:c r="J5" t="n">
        <x:f>--AND(F5=1,E5='Calculator'!$B$4)</x:f>
        <x:v>0</x:v>
      </x:c>
      <x:c r="K5" t="n">
        <x:f>--AND(J5=1,G5=1)</x:f>
        <x:v>0</x:v>
      </x:c>
      <x:c r="L5" t="str">
        <x:f>A5&amp;"/"&amp;B5&amp;"/"&amp;C5</x:f>
        <x:v>6/6/9</x:v>
      </x:c>
      <x:c r="M5" t="str">
        <x:f>MIN(15,A5+'Calculator'!$B$6)&amp;"/"&amp;MIN(15,B5+'Calculator'!$B$6)&amp;"/"&amp;MIN(15,C5+'Calculator'!$B$6)</x:f>
        <x:v>8/8/11</x:v>
      </x:c>
    </x:row>
    <x:row r="6">
      <x:c r="A6" t="n">
        <x:v>6</x:v>
      </x:c>
      <x:c r="B6" t="n">
        <x:v>6</x:v>
      </x:c>
      <x:c r="C6" t="n">
        <x:v>10</x:v>
      </x:c>
      <x:c r="D6" t="n">
        <x:f>MAX(10,ROUNDDOWN((('Calculator'!$B$10+A6)*SQRT('Calculator'!$B$11+B6)*SQRT('Calculator'!$B$12+C6)*0.59740001^2)/10,0))</x:f>
        <x:v>2241</x:v>
      </x:c>
      <x:c r="E6" t="n">
        <x:f>MAX(10,ROUNDDOWN((('Calculator'!$B$10+A6)*SQRT('Calculator'!$B$11+B6)*SQRT('Calculator'!$B$12+C6)*0.667934^2)/10,0))</x:f>
        <x:v>2801</x:v>
      </x:c>
      <x:c r="F6" t="n">
        <x:f>--AND(A6&gt;='Calculator'!$B$5,B6&gt;='Calculator'!$B$5,C6&gt;='Calculator'!$B$5)</x:f>
        <x:v>1</x:v>
      </x:c>
      <x:c r="G6" t="n">
        <x:f>--AND(A6+'Calculator'!$B$6&gt;=15,B6+'Calculator'!$B$6&gt;=15,C6+'Calculator'!$B$6&gt;=15)</x:f>
        <x:v>0</x:v>
      </x:c>
      <x:c r="H6" t="n">
        <x:f>--AND(F6=1,D6='Calculator'!$B$4)</x:f>
        <x:v>0</x:v>
      </x:c>
      <x:c r="I6" t="n">
        <x:f>--AND(H6=1,G6=1)</x:f>
        <x:v>0</x:v>
      </x:c>
      <x:c r="J6" t="n">
        <x:f>--AND(F6=1,E6='Calculator'!$B$4)</x:f>
        <x:v>0</x:v>
      </x:c>
      <x:c r="K6" t="n">
        <x:f>--AND(J6=1,G6=1)</x:f>
        <x:v>0</x:v>
      </x:c>
      <x:c r="L6" t="str">
        <x:f>A6&amp;"/"&amp;B6&amp;"/"&amp;C6</x:f>
        <x:v>6/6/10</x:v>
      </x:c>
      <x:c r="M6" t="str">
        <x:f>MIN(15,A6+'Calculator'!$B$6)&amp;"/"&amp;MIN(15,B6+'Calculator'!$B$6)&amp;"/"&amp;MIN(15,C6+'Calculator'!$B$6)</x:f>
        <x:v>8/8/12</x:v>
      </x:c>
    </x:row>
    <x:row r="7">
      <x:c r="A7" t="n">
        <x:v>6</x:v>
      </x:c>
      <x:c r="B7" t="n">
        <x:v>6</x:v>
      </x:c>
      <x:c r="C7" t="n">
        <x:v>11</x:v>
      </x:c>
      <x:c r="D7" t="n">
        <x:f>MAX(10,ROUNDDOWN((('Calculator'!$B$10+A7)*SQRT('Calculator'!$B$11+B7)*SQRT('Calculator'!$B$12+C7)*0.59740001^2)/10,0))</x:f>
        <x:v>2246</x:v>
      </x:c>
      <x:c r="E7" t="n">
        <x:f>MAX(10,ROUNDDOWN((('Calculator'!$B$10+A7)*SQRT('Calculator'!$B$11+B7)*SQRT('Calculator'!$B$12+C7)*0.667934^2)/10,0))</x:f>
        <x:v>2807</x:v>
      </x:c>
      <x:c r="F7" t="n">
        <x:f>--AND(A7&gt;='Calculator'!$B$5,B7&gt;='Calculator'!$B$5,C7&gt;='Calculator'!$B$5)</x:f>
        <x:v>1</x:v>
      </x:c>
      <x:c r="G7" t="n">
        <x:f>--AND(A7+'Calculator'!$B$6&gt;=15,B7+'Calculator'!$B$6&gt;=15,C7+'Calculator'!$B$6&gt;=15)</x:f>
        <x:v>0</x:v>
      </x:c>
      <x:c r="H7" t="n">
        <x:f>--AND(F7=1,D7='Calculator'!$B$4)</x:f>
        <x:v>0</x:v>
      </x:c>
      <x:c r="I7" t="n">
        <x:f>--AND(H7=1,G7=1)</x:f>
        <x:v>0</x:v>
      </x:c>
      <x:c r="J7" t="n">
        <x:f>--AND(F7=1,E7='Calculator'!$B$4)</x:f>
        <x:v>0</x:v>
      </x:c>
      <x:c r="K7" t="n">
        <x:f>--AND(J7=1,G7=1)</x:f>
        <x:v>0</x:v>
      </x:c>
      <x:c r="L7" t="str">
        <x:f>A7&amp;"/"&amp;B7&amp;"/"&amp;C7</x:f>
        <x:v>6/6/11</x:v>
      </x:c>
      <x:c r="M7" t="str">
        <x:f>MIN(15,A7+'Calculator'!$B$6)&amp;"/"&amp;MIN(15,B7+'Calculator'!$B$6)&amp;"/"&amp;MIN(15,C7+'Calculator'!$B$6)</x:f>
        <x:v>8/8/13</x:v>
      </x:c>
    </x:row>
    <x:row r="8">
      <x:c r="A8" t="n">
        <x:v>6</x:v>
      </x:c>
      <x:c r="B8" t="n">
        <x:v>6</x:v>
      </x:c>
      <x:c r="C8" t="n">
        <x:v>12</x:v>
      </x:c>
      <x:c r="D8" t="n">
        <x:f>MAX(10,ROUNDDOWN((('Calculator'!$B$10+A8)*SQRT('Calculator'!$B$11+B8)*SQRT('Calculator'!$B$12+C8)*0.59740001^2)/10,0))</x:f>
        <x:v>2251</x:v>
      </x:c>
      <x:c r="E8" t="n">
        <x:f>MAX(10,ROUNDDOWN((('Calculator'!$B$10+A8)*SQRT('Calculator'!$B$11+B8)*SQRT('Calculator'!$B$12+C8)*0.667934^2)/10,0))</x:f>
        <x:v>2813</x:v>
      </x:c>
      <x:c r="F8" t="n">
        <x:f>--AND(A8&gt;='Calculator'!$B$5,B8&gt;='Calculator'!$B$5,C8&gt;='Calculator'!$B$5)</x:f>
        <x:v>1</x:v>
      </x:c>
      <x:c r="G8" t="n">
        <x:f>--AND(A8+'Calculator'!$B$6&gt;=15,B8+'Calculator'!$B$6&gt;=15,C8+'Calculator'!$B$6&gt;=15)</x:f>
        <x:v>0</x:v>
      </x:c>
      <x:c r="H8" t="n">
        <x:f>--AND(F8=1,D8='Calculator'!$B$4)</x:f>
        <x:v>0</x:v>
      </x:c>
      <x:c r="I8" t="n">
        <x:f>--AND(H8=1,G8=1)</x:f>
        <x:v>0</x:v>
      </x:c>
      <x:c r="J8" t="n">
        <x:f>--AND(F8=1,E8='Calculator'!$B$4)</x:f>
        <x:v>0</x:v>
      </x:c>
      <x:c r="K8" t="n">
        <x:f>--AND(J8=1,G8=1)</x:f>
        <x:v>0</x:v>
      </x:c>
      <x:c r="L8" t="str">
        <x:f>A8&amp;"/"&amp;B8&amp;"/"&amp;C8</x:f>
        <x:v>6/6/12</x:v>
      </x:c>
      <x:c r="M8" t="str">
        <x:f>MIN(15,A8+'Calculator'!$B$6)&amp;"/"&amp;MIN(15,B8+'Calculator'!$B$6)&amp;"/"&amp;MIN(15,C8+'Calculator'!$B$6)</x:f>
        <x:v>8/8/14</x:v>
      </x:c>
    </x:row>
    <x:row r="9">
      <x:c r="A9" t="n">
        <x:v>6</x:v>
      </x:c>
      <x:c r="B9" t="n">
        <x:v>6</x:v>
      </x:c>
      <x:c r="C9" t="n">
        <x:v>13</x:v>
      </x:c>
      <x:c r="D9" t="n">
        <x:f>MAX(10,ROUNDDOWN((('Calculator'!$B$10+A9)*SQRT('Calculator'!$B$11+B9)*SQRT('Calculator'!$B$12+C9)*0.59740001^2)/10,0))</x:f>
        <x:v>2256</x:v>
      </x:c>
      <x:c r="E9" t="n">
        <x:f>MAX(10,ROUNDDOWN((('Calculator'!$B$10+A9)*SQRT('Calculator'!$B$11+B9)*SQRT('Calculator'!$B$12+C9)*0.667934^2)/10,0))</x:f>
        <x:v>2820</x:v>
      </x:c>
      <x:c r="F9" t="n">
        <x:f>--AND(A9&gt;='Calculator'!$B$5,B9&gt;='Calculator'!$B$5,C9&gt;='Calculator'!$B$5)</x:f>
        <x:v>1</x:v>
      </x:c>
      <x:c r="G9" t="n">
        <x:f>--AND(A9+'Calculator'!$B$6&gt;=15,B9+'Calculator'!$B$6&gt;=15,C9+'Calculator'!$B$6&gt;=15)</x:f>
        <x:v>0</x:v>
      </x:c>
      <x:c r="H9" t="n">
        <x:f>--AND(F9=1,D9='Calculator'!$B$4)</x:f>
        <x:v>0</x:v>
      </x:c>
      <x:c r="I9" t="n">
        <x:f>--AND(H9=1,G9=1)</x:f>
        <x:v>0</x:v>
      </x:c>
      <x:c r="J9" t="n">
        <x:f>--AND(F9=1,E9='Calculator'!$B$4)</x:f>
        <x:v>0</x:v>
      </x:c>
      <x:c r="K9" t="n">
        <x:f>--AND(J9=1,G9=1)</x:f>
        <x:v>0</x:v>
      </x:c>
      <x:c r="L9" t="str">
        <x:f>A9&amp;"/"&amp;B9&amp;"/"&amp;C9</x:f>
        <x:v>6/6/13</x:v>
      </x:c>
      <x:c r="M9" t="str">
        <x:f>MIN(15,A9+'Calculator'!$B$6)&amp;"/"&amp;MIN(15,B9+'Calculator'!$B$6)&amp;"/"&amp;MIN(15,C9+'Calculator'!$B$6)</x:f>
        <x:v>8/8/15</x:v>
      </x:c>
    </x:row>
    <x:row r="10">
      <x:c r="A10" t="n">
        <x:v>6</x:v>
      </x:c>
      <x:c r="B10" t="n">
        <x:v>6</x:v>
      </x:c>
      <x:c r="C10" t="n">
        <x:v>14</x:v>
      </x:c>
      <x:c r="D10" t="n">
        <x:f>MAX(10,ROUNDDOWN((('Calculator'!$B$10+A10)*SQRT('Calculator'!$B$11+B10)*SQRT('Calculator'!$B$12+C10)*0.59740001^2)/10,0))</x:f>
        <x:v>2260</x:v>
      </x:c>
      <x:c r="E10" t="n">
        <x:f>MAX(10,ROUNDDOWN((('Calculator'!$B$10+A10)*SQRT('Calculator'!$B$11+B10)*SQRT('Calculator'!$B$12+C10)*0.667934^2)/10,0))</x:f>
        <x:v>2826</x:v>
      </x:c>
      <x:c r="F10" t="n">
        <x:f>--AND(A10&gt;='Calculator'!$B$5,B10&gt;='Calculator'!$B$5,C10&gt;='Calculator'!$B$5)</x:f>
        <x:v>1</x:v>
      </x:c>
      <x:c r="G10" t="n">
        <x:f>--AND(A10+'Calculator'!$B$6&gt;=15,B10+'Calculator'!$B$6&gt;=15,C10+'Calculator'!$B$6&gt;=15)</x:f>
        <x:v>0</x:v>
      </x:c>
      <x:c r="H10" t="n">
        <x:f>--AND(F10=1,D10='Calculator'!$B$4)</x:f>
        <x:v>0</x:v>
      </x:c>
      <x:c r="I10" t="n">
        <x:f>--AND(H10=1,G10=1)</x:f>
        <x:v>0</x:v>
      </x:c>
      <x:c r="J10" t="n">
        <x:f>--AND(F10=1,E10='Calculator'!$B$4)</x:f>
        <x:v>0</x:v>
      </x:c>
      <x:c r="K10" t="n">
        <x:f>--AND(J10=1,G10=1)</x:f>
        <x:v>0</x:v>
      </x:c>
      <x:c r="L10" t="str">
        <x:f>A10&amp;"/"&amp;B10&amp;"/"&amp;C10</x:f>
        <x:v>6/6/14</x:v>
      </x:c>
      <x:c r="M10" t="str">
        <x:f>MIN(15,A10+'Calculator'!$B$6)&amp;"/"&amp;MIN(15,B10+'Calculator'!$B$6)&amp;"/"&amp;MIN(15,C10+'Calculator'!$B$6)</x:f>
        <x:v>8/8/15</x:v>
      </x:c>
    </x:row>
    <x:row r="11">
      <x:c r="A11" t="n">
        <x:v>6</x:v>
      </x:c>
      <x:c r="B11" t="n">
        <x:v>6</x:v>
      </x:c>
      <x:c r="C11" t="n">
        <x:v>15</x:v>
      </x:c>
      <x:c r="D11" t="n">
        <x:f>MAX(10,ROUNDDOWN((('Calculator'!$B$10+A11)*SQRT('Calculator'!$B$11+B11)*SQRT('Calculator'!$B$12+C11)*0.59740001^2)/10,0))</x:f>
        <x:v>2265</x:v>
      </x:c>
      <x:c r="E11" t="n">
        <x:f>MAX(10,ROUNDDOWN((('Calculator'!$B$10+A11)*SQRT('Calculator'!$B$11+B11)*SQRT('Calculator'!$B$12+C11)*0.667934^2)/10,0))</x:f>
        <x:v>2832</x:v>
      </x:c>
      <x:c r="F11" t="n">
        <x:f>--AND(A11&gt;='Calculator'!$B$5,B11&gt;='Calculator'!$B$5,C11&gt;='Calculator'!$B$5)</x:f>
        <x:v>1</x:v>
      </x:c>
      <x:c r="G11" t="n">
        <x:f>--AND(A11+'Calculator'!$B$6&gt;=15,B11+'Calculator'!$B$6&gt;=15,C11+'Calculator'!$B$6&gt;=15)</x:f>
        <x:v>0</x:v>
      </x:c>
      <x:c r="H11" t="n">
        <x:f>--AND(F11=1,D11='Calculator'!$B$4)</x:f>
        <x:v>0</x:v>
      </x:c>
      <x:c r="I11" t="n">
        <x:f>--AND(H11=1,G11=1)</x:f>
        <x:v>0</x:v>
      </x:c>
      <x:c r="J11" t="n">
        <x:f>--AND(F11=1,E11='Calculator'!$B$4)</x:f>
        <x:v>0</x:v>
      </x:c>
      <x:c r="K11" t="n">
        <x:f>--AND(J11=1,G11=1)</x:f>
        <x:v>0</x:v>
      </x:c>
      <x:c r="L11" t="str">
        <x:f>A11&amp;"/"&amp;B11&amp;"/"&amp;C11</x:f>
        <x:v>6/6/15</x:v>
      </x:c>
      <x:c r="M11" t="str">
        <x:f>MIN(15,A11+'Calculator'!$B$6)&amp;"/"&amp;MIN(15,B11+'Calculator'!$B$6)&amp;"/"&amp;MIN(15,C11+'Calculator'!$B$6)</x:f>
        <x:v>8/8/15</x:v>
      </x:c>
    </x:row>
    <x:row r="12">
      <x:c r="A12" t="n">
        <x:v>6</x:v>
      </x:c>
      <x:c r="B12" t="n">
        <x:v>7</x:v>
      </x:c>
      <x:c r="C12" t="n">
        <x:v>6</x:v>
      </x:c>
      <x:c r="D12" t="n">
        <x:f>MAX(10,ROUNDDOWN((('Calculator'!$B$10+A12)*SQRT('Calculator'!$B$11+B12)*SQRT('Calculator'!$B$12+C12)*0.59740001^2)/10,0))</x:f>
        <x:v>2226</x:v>
      </x:c>
      <x:c r="E12" t="n">
        <x:f>MAX(10,ROUNDDOWN((('Calculator'!$B$10+A12)*SQRT('Calculator'!$B$11+B12)*SQRT('Calculator'!$B$12+C12)*0.667934^2)/10,0))</x:f>
        <x:v>2783</x:v>
      </x:c>
      <x:c r="F12" t="n">
        <x:f>--AND(A12&gt;='Calculator'!$B$5,B12&gt;='Calculator'!$B$5,C12&gt;='Calculator'!$B$5)</x:f>
        <x:v>1</x:v>
      </x:c>
      <x:c r="G12" t="n">
        <x:f>--AND(A12+'Calculator'!$B$6&gt;=15,B12+'Calculator'!$B$6&gt;=15,C12+'Calculator'!$B$6&gt;=15)</x:f>
        <x:v>0</x:v>
      </x:c>
      <x:c r="H12" t="n">
        <x:f>--AND(F12=1,D12='Calculator'!$B$4)</x:f>
        <x:v>0</x:v>
      </x:c>
      <x:c r="I12" t="n">
        <x:f>--AND(H12=1,G12=1)</x:f>
        <x:v>0</x:v>
      </x:c>
      <x:c r="J12" t="n">
        <x:f>--AND(F12=1,E12='Calculator'!$B$4)</x:f>
        <x:v>0</x:v>
      </x:c>
      <x:c r="K12" t="n">
        <x:f>--AND(J12=1,G12=1)</x:f>
        <x:v>0</x:v>
      </x:c>
      <x:c r="L12" t="str">
        <x:f>A12&amp;"/"&amp;B12&amp;"/"&amp;C12</x:f>
        <x:v>6/7/6</x:v>
      </x:c>
      <x:c r="M12" t="str">
        <x:f>MIN(15,A12+'Calculator'!$B$6)&amp;"/"&amp;MIN(15,B12+'Calculator'!$B$6)&amp;"/"&amp;MIN(15,C12+'Calculator'!$B$6)</x:f>
        <x:v>8/9/8</x:v>
      </x:c>
    </x:row>
    <x:row r="13">
      <x:c r="A13" t="n">
        <x:v>6</x:v>
      </x:c>
      <x:c r="B13" t="n">
        <x:v>7</x:v>
      </x:c>
      <x:c r="C13" t="n">
        <x:v>7</x:v>
      </x:c>
      <x:c r="D13" t="n">
        <x:f>MAX(10,ROUNDDOWN((('Calculator'!$B$10+A13)*SQRT('Calculator'!$B$11+B13)*SQRT('Calculator'!$B$12+C13)*0.59740001^2)/10,0))</x:f>
        <x:v>2231</x:v>
      </x:c>
      <x:c r="E13" t="n">
        <x:f>MAX(10,ROUNDDOWN((('Calculator'!$B$10+A13)*SQRT('Calculator'!$B$11+B13)*SQRT('Calculator'!$B$12+C13)*0.667934^2)/10,0))</x:f>
        <x:v>2790</x:v>
      </x:c>
      <x:c r="F13" t="n">
        <x:f>--AND(A13&gt;='Calculator'!$B$5,B13&gt;='Calculator'!$B$5,C13&gt;='Calculator'!$B$5)</x:f>
        <x:v>1</x:v>
      </x:c>
      <x:c r="G13" t="n">
        <x:f>--AND(A13+'Calculator'!$B$6&gt;=15,B13+'Calculator'!$B$6&gt;=15,C13+'Calculator'!$B$6&gt;=15)</x:f>
        <x:v>0</x:v>
      </x:c>
      <x:c r="H13" t="n">
        <x:f>--AND(F13=1,D13='Calculator'!$B$4)</x:f>
        <x:v>0</x:v>
      </x:c>
      <x:c r="I13" t="n">
        <x:f>--AND(H13=1,G13=1)</x:f>
        <x:v>0</x:v>
      </x:c>
      <x:c r="J13" t="n">
        <x:f>--AND(F13=1,E13='Calculator'!$B$4)</x:f>
        <x:v>0</x:v>
      </x:c>
      <x:c r="K13" t="n">
        <x:f>--AND(J13=1,G13=1)</x:f>
        <x:v>0</x:v>
      </x:c>
      <x:c r="L13" t="str">
        <x:f>A13&amp;"/"&amp;B13&amp;"/"&amp;C13</x:f>
        <x:v>6/7/7</x:v>
      </x:c>
      <x:c r="M13" t="str">
        <x:f>MIN(15,A13+'Calculator'!$B$6)&amp;"/"&amp;MIN(15,B13+'Calculator'!$B$6)&amp;"/"&amp;MIN(15,C13+'Calculator'!$B$6)</x:f>
        <x:v>8/9/9</x:v>
      </x:c>
    </x:row>
    <x:row r="14">
      <x:c r="A14" t="n">
        <x:v>6</x:v>
      </x:c>
      <x:c r="B14" t="n">
        <x:v>7</x:v>
      </x:c>
      <x:c r="C14" t="n">
        <x:v>8</x:v>
      </x:c>
      <x:c r="D14" t="n">
        <x:f>MAX(10,ROUNDDOWN((('Calculator'!$B$10+A14)*SQRT('Calculator'!$B$11+B14)*SQRT('Calculator'!$B$12+C14)*0.59740001^2)/10,0))</x:f>
        <x:v>2236</x:v>
      </x:c>
      <x:c r="E14" t="n">
        <x:f>MAX(10,ROUNDDOWN((('Calculator'!$B$10+A14)*SQRT('Calculator'!$B$11+B14)*SQRT('Calculator'!$B$12+C14)*0.667934^2)/10,0))</x:f>
        <x:v>2796</x:v>
      </x:c>
      <x:c r="F14" t="n">
        <x:f>--AND(A14&gt;='Calculator'!$B$5,B14&gt;='Calculator'!$B$5,C14&gt;='Calculator'!$B$5)</x:f>
        <x:v>1</x:v>
      </x:c>
      <x:c r="G14" t="n">
        <x:f>--AND(A14+'Calculator'!$B$6&gt;=15,B14+'Calculator'!$B$6&gt;=15,C14+'Calculator'!$B$6&gt;=15)</x:f>
        <x:v>0</x:v>
      </x:c>
      <x:c r="H14" t="n">
        <x:f>--AND(F14=1,D14='Calculator'!$B$4)</x:f>
        <x:v>0</x:v>
      </x:c>
      <x:c r="I14" t="n">
        <x:f>--AND(H14=1,G14=1)</x:f>
        <x:v>0</x:v>
      </x:c>
      <x:c r="J14" t="n">
        <x:f>--AND(F14=1,E14='Calculator'!$B$4)</x:f>
        <x:v>0</x:v>
      </x:c>
      <x:c r="K14" t="n">
        <x:f>--AND(J14=1,G14=1)</x:f>
        <x:v>0</x:v>
      </x:c>
      <x:c r="L14" t="str">
        <x:f>A14&amp;"/"&amp;B14&amp;"/"&amp;C14</x:f>
        <x:v>6/7/8</x:v>
      </x:c>
      <x:c r="M14" t="str">
        <x:f>MIN(15,A14+'Calculator'!$B$6)&amp;"/"&amp;MIN(15,B14+'Calculator'!$B$6)&amp;"/"&amp;MIN(15,C14+'Calculator'!$B$6)</x:f>
        <x:v>8/9/10</x:v>
      </x:c>
    </x:row>
    <x:row r="15">
      <x:c r="A15" t="n">
        <x:v>6</x:v>
      </x:c>
      <x:c r="B15" t="n">
        <x:v>7</x:v>
      </x:c>
      <x:c r="C15" t="n">
        <x:v>9</x:v>
      </x:c>
      <x:c r="D15" t="n">
        <x:f>MAX(10,ROUNDDOWN((('Calculator'!$B$10+A15)*SQRT('Calculator'!$B$11+B15)*SQRT('Calculator'!$B$12+C15)*0.59740001^2)/10,0))</x:f>
        <x:v>2241</x:v>
      </x:c>
      <x:c r="E15" t="n">
        <x:f>MAX(10,ROUNDDOWN((('Calculator'!$B$10+A15)*SQRT('Calculator'!$B$11+B15)*SQRT('Calculator'!$B$12+C15)*0.667934^2)/10,0))</x:f>
        <x:v>2802</x:v>
      </x:c>
      <x:c r="F15" t="n">
        <x:f>--AND(A15&gt;='Calculator'!$B$5,B15&gt;='Calculator'!$B$5,C15&gt;='Calculator'!$B$5)</x:f>
        <x:v>1</x:v>
      </x:c>
      <x:c r="G15" t="n">
        <x:f>--AND(A15+'Calculator'!$B$6&gt;=15,B15+'Calculator'!$B$6&gt;=15,C15+'Calculator'!$B$6&gt;=15)</x:f>
        <x:v>0</x:v>
      </x:c>
      <x:c r="H15" t="n">
        <x:f>--AND(F15=1,D15='Calculator'!$B$4)</x:f>
        <x:v>0</x:v>
      </x:c>
      <x:c r="I15" t="n">
        <x:f>--AND(H15=1,G15=1)</x:f>
        <x:v>0</x:v>
      </x:c>
      <x:c r="J15" t="n">
        <x:f>--AND(F15=1,E15='Calculator'!$B$4)</x:f>
        <x:v>0</x:v>
      </x:c>
      <x:c r="K15" t="n">
        <x:f>--AND(J15=1,G15=1)</x:f>
        <x:v>0</x:v>
      </x:c>
      <x:c r="L15" t="str">
        <x:f>A15&amp;"/"&amp;B15&amp;"/"&amp;C15</x:f>
        <x:v>6/7/9</x:v>
      </x:c>
      <x:c r="M15" t="str">
        <x:f>MIN(15,A15+'Calculator'!$B$6)&amp;"/"&amp;MIN(15,B15+'Calculator'!$B$6)&amp;"/"&amp;MIN(15,C15+'Calculator'!$B$6)</x:f>
        <x:v>8/9/11</x:v>
      </x:c>
    </x:row>
    <x:row r="16">
      <x:c r="A16" t="n">
        <x:v>6</x:v>
      </x:c>
      <x:c r="B16" t="n">
        <x:v>7</x:v>
      </x:c>
      <x:c r="C16" t="n">
        <x:v>10</x:v>
      </x:c>
      <x:c r="D16" t="n">
        <x:f>MAX(10,ROUNDDOWN((('Calculator'!$B$10+A16)*SQRT('Calculator'!$B$11+B16)*SQRT('Calculator'!$B$12+C16)*0.59740001^2)/10,0))</x:f>
        <x:v>2247</x:v>
      </x:c>
      <x:c r="E16" t="n">
        <x:f>MAX(10,ROUNDDOWN((('Calculator'!$B$10+A16)*SQRT('Calculator'!$B$11+B16)*SQRT('Calculator'!$B$12+C16)*0.667934^2)/10,0))</x:f>
        <x:v>2808</x:v>
      </x:c>
      <x:c r="F16" t="n">
        <x:f>--AND(A16&gt;='Calculator'!$B$5,B16&gt;='Calculator'!$B$5,C16&gt;='Calculator'!$B$5)</x:f>
        <x:v>1</x:v>
      </x:c>
      <x:c r="G16" t="n">
        <x:f>--AND(A16+'Calculator'!$B$6&gt;=15,B16+'Calculator'!$B$6&gt;=15,C16+'Calculator'!$B$6&gt;=15)</x:f>
        <x:v>0</x:v>
      </x:c>
      <x:c r="H16" t="n">
        <x:f>--AND(F16=1,D16='Calculator'!$B$4)</x:f>
        <x:v>0</x:v>
      </x:c>
      <x:c r="I16" t="n">
        <x:f>--AND(H16=1,G16=1)</x:f>
        <x:v>0</x:v>
      </x:c>
      <x:c r="J16" t="n">
        <x:f>--AND(F16=1,E16='Calculator'!$B$4)</x:f>
        <x:v>0</x:v>
      </x:c>
      <x:c r="K16" t="n">
        <x:f>--AND(J16=1,G16=1)</x:f>
        <x:v>0</x:v>
      </x:c>
      <x:c r="L16" t="str">
        <x:f>A16&amp;"/"&amp;B16&amp;"/"&amp;C16</x:f>
        <x:v>6/7/10</x:v>
      </x:c>
      <x:c r="M16" t="str">
        <x:f>MIN(15,A16+'Calculator'!$B$6)&amp;"/"&amp;MIN(15,B16+'Calculator'!$B$6)&amp;"/"&amp;MIN(15,C16+'Calculator'!$B$6)</x:f>
        <x:v>8/9/12</x:v>
      </x:c>
    </x:row>
    <x:row r="17">
      <x:c r="A17" t="n">
        <x:v>6</x:v>
      </x:c>
      <x:c r="B17" t="n">
        <x:v>7</x:v>
      </x:c>
      <x:c r="C17" t="n">
        <x:v>11</x:v>
      </x:c>
      <x:c r="D17" t="n">
        <x:f>MAX(10,ROUNDDOWN((('Calculator'!$B$10+A17)*SQRT('Calculator'!$B$11+B17)*SQRT('Calculator'!$B$12+C17)*0.59740001^2)/10,0))</x:f>
        <x:v>2252</x:v>
      </x:c>
      <x:c r="E17" t="n">
        <x:f>MAX(10,ROUNDDOWN((('Calculator'!$B$10+A17)*SQRT('Calculator'!$B$11+B17)*SQRT('Calculator'!$B$12+C17)*0.667934^2)/10,0))</x:f>
        <x:v>2815</x:v>
      </x:c>
      <x:c r="F17" t="n">
        <x:f>--AND(A17&gt;='Calculator'!$B$5,B17&gt;='Calculator'!$B$5,C17&gt;='Calculator'!$B$5)</x:f>
        <x:v>1</x:v>
      </x:c>
      <x:c r="G17" t="n">
        <x:f>--AND(A17+'Calculator'!$B$6&gt;=15,B17+'Calculator'!$B$6&gt;=15,C17+'Calculator'!$B$6&gt;=15)</x:f>
        <x:v>0</x:v>
      </x:c>
      <x:c r="H17" t="n">
        <x:f>--AND(F17=1,D17='Calculator'!$B$4)</x:f>
        <x:v>0</x:v>
      </x:c>
      <x:c r="I17" t="n">
        <x:f>--AND(H17=1,G17=1)</x:f>
        <x:v>0</x:v>
      </x:c>
      <x:c r="J17" t="n">
        <x:f>--AND(F17=1,E17='Calculator'!$B$4)</x:f>
        <x:v>0</x:v>
      </x:c>
      <x:c r="K17" t="n">
        <x:f>--AND(J17=1,G17=1)</x:f>
        <x:v>0</x:v>
      </x:c>
      <x:c r="L17" t="str">
        <x:f>A17&amp;"/"&amp;B17&amp;"/"&amp;C17</x:f>
        <x:v>6/7/11</x:v>
      </x:c>
      <x:c r="M17" t="str">
        <x:f>MIN(15,A17+'Calculator'!$B$6)&amp;"/"&amp;MIN(15,B17+'Calculator'!$B$6)&amp;"/"&amp;MIN(15,C17+'Calculator'!$B$6)</x:f>
        <x:v>8/9/13</x:v>
      </x:c>
    </x:row>
    <x:row r="18">
      <x:c r="A18" t="n">
        <x:v>6</x:v>
      </x:c>
      <x:c r="B18" t="n">
        <x:v>7</x:v>
      </x:c>
      <x:c r="C18" t="n">
        <x:v>12</x:v>
      </x:c>
      <x:c r="D18" t="n">
        <x:f>MAX(10,ROUNDDOWN((('Calculator'!$B$10+A18)*SQRT('Calculator'!$B$11+B18)*SQRT('Calculator'!$B$12+C18)*0.59740001^2)/10,0))</x:f>
        <x:v>2257</x:v>
      </x:c>
      <x:c r="E18" t="n">
        <x:f>MAX(10,ROUNDDOWN((('Calculator'!$B$10+A18)*SQRT('Calculator'!$B$11+B18)*SQRT('Calculator'!$B$12+C18)*0.667934^2)/10,0))</x:f>
        <x:v>2821</x:v>
      </x:c>
      <x:c r="F18" t="n">
        <x:f>--AND(A18&gt;='Calculator'!$B$5,B18&gt;='Calculator'!$B$5,C18&gt;='Calculator'!$B$5)</x:f>
        <x:v>1</x:v>
      </x:c>
      <x:c r="G18" t="n">
        <x:f>--AND(A18+'Calculator'!$B$6&gt;=15,B18+'Calculator'!$B$6&gt;=15,C18+'Calculator'!$B$6&gt;=15)</x:f>
        <x:v>0</x:v>
      </x:c>
      <x:c r="H18" t="n">
        <x:f>--AND(F18=1,D18='Calculator'!$B$4)</x:f>
        <x:v>0</x:v>
      </x:c>
      <x:c r="I18" t="n">
        <x:f>--AND(H18=1,G18=1)</x:f>
        <x:v>0</x:v>
      </x:c>
      <x:c r="J18" t="n">
        <x:f>--AND(F18=1,E18='Calculator'!$B$4)</x:f>
        <x:v>0</x:v>
      </x:c>
      <x:c r="K18" t="n">
        <x:f>--AND(J18=1,G18=1)</x:f>
        <x:v>0</x:v>
      </x:c>
      <x:c r="L18" t="str">
        <x:f>A18&amp;"/"&amp;B18&amp;"/"&amp;C18</x:f>
        <x:v>6/7/12</x:v>
      </x:c>
      <x:c r="M18" t="str">
        <x:f>MIN(15,A18+'Calculator'!$B$6)&amp;"/"&amp;MIN(15,B18+'Calculator'!$B$6)&amp;"/"&amp;MIN(15,C18+'Calculator'!$B$6)</x:f>
        <x:v>8/9/14</x:v>
      </x:c>
    </x:row>
    <x:row r="19">
      <x:c r="A19" t="n">
        <x:v>6</x:v>
      </x:c>
      <x:c r="B19" t="n">
        <x:v>7</x:v>
      </x:c>
      <x:c r="C19" t="n">
        <x:v>13</x:v>
      </x:c>
      <x:c r="D19" t="n">
        <x:f>MAX(10,ROUNDDOWN((('Calculator'!$B$10+A19)*SQRT('Calculator'!$B$11+B19)*SQRT('Calculator'!$B$12+C19)*0.59740001^2)/10,0))</x:f>
        <x:v>2262</x:v>
      </x:c>
      <x:c r="E19" t="n">
        <x:f>MAX(10,ROUNDDOWN((('Calculator'!$B$10+A19)*SQRT('Calculator'!$B$11+B19)*SQRT('Calculator'!$B$12+C19)*0.667934^2)/10,0))</x:f>
        <x:v>2827</x:v>
      </x:c>
      <x:c r="F19" t="n">
        <x:f>--AND(A19&gt;='Calculator'!$B$5,B19&gt;='Calculator'!$B$5,C19&gt;='Calculator'!$B$5)</x:f>
        <x:v>1</x:v>
      </x:c>
      <x:c r="G19" t="n">
        <x:f>--AND(A19+'Calculator'!$B$6&gt;=15,B19+'Calculator'!$B$6&gt;=15,C19+'Calculator'!$B$6&gt;=15)</x:f>
        <x:v>0</x:v>
      </x:c>
      <x:c r="H19" t="n">
        <x:f>--AND(F19=1,D19='Calculator'!$B$4)</x:f>
        <x:v>0</x:v>
      </x:c>
      <x:c r="I19" t="n">
        <x:f>--AND(H19=1,G19=1)</x:f>
        <x:v>0</x:v>
      </x:c>
      <x:c r="J19" t="n">
        <x:f>--AND(F19=1,E19='Calculator'!$B$4)</x:f>
        <x:v>0</x:v>
      </x:c>
      <x:c r="K19" t="n">
        <x:f>--AND(J19=1,G19=1)</x:f>
        <x:v>0</x:v>
      </x:c>
      <x:c r="L19" t="str">
        <x:f>A19&amp;"/"&amp;B19&amp;"/"&amp;C19</x:f>
        <x:v>6/7/13</x:v>
      </x:c>
      <x:c r="M19" t="str">
        <x:f>MIN(15,A19+'Calculator'!$B$6)&amp;"/"&amp;MIN(15,B19+'Calculator'!$B$6)&amp;"/"&amp;MIN(15,C19+'Calculator'!$B$6)</x:f>
        <x:v>8/9/15</x:v>
      </x:c>
    </x:row>
    <x:row r="20">
      <x:c r="A20" t="n">
        <x:v>6</x:v>
      </x:c>
      <x:c r="B20" t="n">
        <x:v>7</x:v>
      </x:c>
      <x:c r="C20" t="n">
        <x:v>14</x:v>
      </x:c>
      <x:c r="D20" t="n">
        <x:f>MAX(10,ROUNDDOWN((('Calculator'!$B$10+A20)*SQRT('Calculator'!$B$11+B20)*SQRT('Calculator'!$B$12+C20)*0.59740001^2)/10,0))</x:f>
        <x:v>2266</x:v>
      </x:c>
      <x:c r="E20" t="n">
        <x:f>MAX(10,ROUNDDOWN((('Calculator'!$B$10+A20)*SQRT('Calculator'!$B$11+B20)*SQRT('Calculator'!$B$12+C20)*0.667934^2)/10,0))</x:f>
        <x:v>2833</x:v>
      </x:c>
      <x:c r="F20" t="n">
        <x:f>--AND(A20&gt;='Calculator'!$B$5,B20&gt;='Calculator'!$B$5,C20&gt;='Calculator'!$B$5)</x:f>
        <x:v>1</x:v>
      </x:c>
      <x:c r="G20" t="n">
        <x:f>--AND(A20+'Calculator'!$B$6&gt;=15,B20+'Calculator'!$B$6&gt;=15,C20+'Calculator'!$B$6&gt;=15)</x:f>
        <x:v>0</x:v>
      </x:c>
      <x:c r="H20" t="n">
        <x:f>--AND(F20=1,D20='Calculator'!$B$4)</x:f>
        <x:v>0</x:v>
      </x:c>
      <x:c r="I20" t="n">
        <x:f>--AND(H20=1,G20=1)</x:f>
        <x:v>0</x:v>
      </x:c>
      <x:c r="J20" t="n">
        <x:f>--AND(F20=1,E20='Calculator'!$B$4)</x:f>
        <x:v>0</x:v>
      </x:c>
      <x:c r="K20" t="n">
        <x:f>--AND(J20=1,G20=1)</x:f>
        <x:v>0</x:v>
      </x:c>
      <x:c r="L20" t="str">
        <x:f>A20&amp;"/"&amp;B20&amp;"/"&amp;C20</x:f>
        <x:v>6/7/14</x:v>
      </x:c>
      <x:c r="M20" t="str">
        <x:f>MIN(15,A20+'Calculator'!$B$6)&amp;"/"&amp;MIN(15,B20+'Calculator'!$B$6)&amp;"/"&amp;MIN(15,C20+'Calculator'!$B$6)</x:f>
        <x:v>8/9/15</x:v>
      </x:c>
    </x:row>
    <x:row r="21">
      <x:c r="A21" t="n">
        <x:v>6</x:v>
      </x:c>
      <x:c r="B21" t="n">
        <x:v>7</x:v>
      </x:c>
      <x:c r="C21" t="n">
        <x:v>15</x:v>
      </x:c>
      <x:c r="D21" t="n">
        <x:f>MAX(10,ROUNDDOWN((('Calculator'!$B$10+A21)*SQRT('Calculator'!$B$11+B21)*SQRT('Calculator'!$B$12+C21)*0.59740001^2)/10,0))</x:f>
        <x:v>2271</x:v>
      </x:c>
      <x:c r="E21" t="n">
        <x:f>MAX(10,ROUNDDOWN((('Calculator'!$B$10+A21)*SQRT('Calculator'!$B$11+B21)*SQRT('Calculator'!$B$12+C21)*0.667934^2)/10,0))</x:f>
        <x:v>2840</x:v>
      </x:c>
      <x:c r="F21" t="n">
        <x:f>--AND(A21&gt;='Calculator'!$B$5,B21&gt;='Calculator'!$B$5,C21&gt;='Calculator'!$B$5)</x:f>
        <x:v>1</x:v>
      </x:c>
      <x:c r="G21" t="n">
        <x:f>--AND(A21+'Calculator'!$B$6&gt;=15,B21+'Calculator'!$B$6&gt;=15,C21+'Calculator'!$B$6&gt;=15)</x:f>
        <x:v>0</x:v>
      </x:c>
      <x:c r="H21" t="n">
        <x:f>--AND(F21=1,D21='Calculator'!$B$4)</x:f>
        <x:v>0</x:v>
      </x:c>
      <x:c r="I21" t="n">
        <x:f>--AND(H21=1,G21=1)</x:f>
        <x:v>0</x:v>
      </x:c>
      <x:c r="J21" t="n">
        <x:f>--AND(F21=1,E21='Calculator'!$B$4)</x:f>
        <x:v>0</x:v>
      </x:c>
      <x:c r="K21" t="n">
        <x:f>--AND(J21=1,G21=1)</x:f>
        <x:v>0</x:v>
      </x:c>
      <x:c r="L21" t="str">
        <x:f>A21&amp;"/"&amp;B21&amp;"/"&amp;C21</x:f>
        <x:v>6/7/15</x:v>
      </x:c>
      <x:c r="M21" t="str">
        <x:f>MIN(15,A21+'Calculator'!$B$6)&amp;"/"&amp;MIN(15,B21+'Calculator'!$B$6)&amp;"/"&amp;MIN(15,C21+'Calculator'!$B$6)</x:f>
        <x:v>8/9/15</x:v>
      </x:c>
    </x:row>
    <x:row r="22">
      <x:c r="A22" t="n">
        <x:v>6</x:v>
      </x:c>
      <x:c r="B22" t="n">
        <x:v>8</x:v>
      </x:c>
      <x:c r="C22" t="n">
        <x:v>6</x:v>
      </x:c>
      <x:c r="D22" t="n">
        <x:f>MAX(10,ROUNDDOWN((('Calculator'!$B$10+A22)*SQRT('Calculator'!$B$11+B22)*SQRT('Calculator'!$B$12+C22)*0.59740001^2)/10,0))</x:f>
        <x:v>2232</x:v>
      </x:c>
      <x:c r="E22" t="n">
        <x:f>MAX(10,ROUNDDOWN((('Calculator'!$B$10+A22)*SQRT('Calculator'!$B$11+B22)*SQRT('Calculator'!$B$12+C22)*0.667934^2)/10,0))</x:f>
        <x:v>2791</x:v>
      </x:c>
      <x:c r="F22" t="n">
        <x:f>--AND(A22&gt;='Calculator'!$B$5,B22&gt;='Calculator'!$B$5,C22&gt;='Calculator'!$B$5)</x:f>
        <x:v>1</x:v>
      </x:c>
      <x:c r="G22" t="n">
        <x:f>--AND(A22+'Calculator'!$B$6&gt;=15,B22+'Calculator'!$B$6&gt;=15,C22+'Calculator'!$B$6&gt;=15)</x:f>
        <x:v>0</x:v>
      </x:c>
      <x:c r="H22" t="n">
        <x:f>--AND(F22=1,D22='Calculator'!$B$4)</x:f>
        <x:v>0</x:v>
      </x:c>
      <x:c r="I22" t="n">
        <x:f>--AND(H22=1,G22=1)</x:f>
        <x:v>0</x:v>
      </x:c>
      <x:c r="J22" t="n">
        <x:f>--AND(F22=1,E22='Calculator'!$B$4)</x:f>
        <x:v>0</x:v>
      </x:c>
      <x:c r="K22" t="n">
        <x:f>--AND(J22=1,G22=1)</x:f>
        <x:v>0</x:v>
      </x:c>
      <x:c r="L22" t="str">
        <x:f>A22&amp;"/"&amp;B22&amp;"/"&amp;C22</x:f>
        <x:v>6/8/6</x:v>
      </x:c>
      <x:c r="M22" t="str">
        <x:f>MIN(15,A22+'Calculator'!$B$6)&amp;"/"&amp;MIN(15,B22+'Calculator'!$B$6)&amp;"/"&amp;MIN(15,C22+'Calculator'!$B$6)</x:f>
        <x:v>8/10/8</x:v>
      </x:c>
    </x:row>
    <x:row r="23">
      <x:c r="A23" t="n">
        <x:v>6</x:v>
      </x:c>
      <x:c r="B23" t="n">
        <x:v>8</x:v>
      </x:c>
      <x:c r="C23" t="n">
        <x:v>7</x:v>
      </x:c>
      <x:c r="D23" t="n">
        <x:f>MAX(10,ROUNDDOWN((('Calculator'!$B$10+A23)*SQRT('Calculator'!$B$11+B23)*SQRT('Calculator'!$B$12+C23)*0.59740001^2)/10,0))</x:f>
        <x:v>2237</x:v>
      </x:c>
      <x:c r="E23" t="n">
        <x:f>MAX(10,ROUNDDOWN((('Calculator'!$B$10+A23)*SQRT('Calculator'!$B$11+B23)*SQRT('Calculator'!$B$12+C23)*0.667934^2)/10,0))</x:f>
        <x:v>2797</x:v>
      </x:c>
      <x:c r="F23" t="n">
        <x:f>--AND(A23&gt;='Calculator'!$B$5,B23&gt;='Calculator'!$B$5,C23&gt;='Calculator'!$B$5)</x:f>
        <x:v>1</x:v>
      </x:c>
      <x:c r="G23" t="n">
        <x:f>--AND(A23+'Calculator'!$B$6&gt;=15,B23+'Calculator'!$B$6&gt;=15,C23+'Calculator'!$B$6&gt;=15)</x:f>
        <x:v>0</x:v>
      </x:c>
      <x:c r="H23" t="n">
        <x:f>--AND(F23=1,D23='Calculator'!$B$4)</x:f>
        <x:v>0</x:v>
      </x:c>
      <x:c r="I23" t="n">
        <x:f>--AND(H23=1,G23=1)</x:f>
        <x:v>0</x:v>
      </x:c>
      <x:c r="J23" t="n">
        <x:f>--AND(F23=1,E23='Calculator'!$B$4)</x:f>
        <x:v>0</x:v>
      </x:c>
      <x:c r="K23" t="n">
        <x:f>--AND(J23=1,G23=1)</x:f>
        <x:v>0</x:v>
      </x:c>
      <x:c r="L23" t="str">
        <x:f>A23&amp;"/"&amp;B23&amp;"/"&amp;C23</x:f>
        <x:v>6/8/7</x:v>
      </x:c>
      <x:c r="M23" t="str">
        <x:f>MIN(15,A23+'Calculator'!$B$6)&amp;"/"&amp;MIN(15,B23+'Calculator'!$B$6)&amp;"/"&amp;MIN(15,C23+'Calculator'!$B$6)</x:f>
        <x:v>8/10/9</x:v>
      </x:c>
    </x:row>
    <x:row r="24">
      <x:c r="A24" t="n">
        <x:v>6</x:v>
      </x:c>
      <x:c r="B24" t="n">
        <x:v>8</x:v>
      </x:c>
      <x:c r="C24" t="n">
        <x:v>8</x:v>
      </x:c>
      <x:c r="D24" t="n">
        <x:f>MAX(10,ROUNDDOWN((('Calculator'!$B$10+A24)*SQRT('Calculator'!$B$11+B24)*SQRT('Calculator'!$B$12+C24)*0.59740001^2)/10,0))</x:f>
        <x:v>2242</x:v>
      </x:c>
      <x:c r="E24" t="n">
        <x:f>MAX(10,ROUNDDOWN((('Calculator'!$B$10+A24)*SQRT('Calculator'!$B$11+B24)*SQRT('Calculator'!$B$12+C24)*0.667934^2)/10,0))</x:f>
        <x:v>2803</x:v>
      </x:c>
      <x:c r="F24" t="n">
        <x:f>--AND(A24&gt;='Calculator'!$B$5,B24&gt;='Calculator'!$B$5,C24&gt;='Calculator'!$B$5)</x:f>
        <x:v>1</x:v>
      </x:c>
      <x:c r="G24" t="n">
        <x:f>--AND(A24+'Calculator'!$B$6&gt;=15,B24+'Calculator'!$B$6&gt;=15,C24+'Calculator'!$B$6&gt;=15)</x:f>
        <x:v>0</x:v>
      </x:c>
      <x:c r="H24" t="n">
        <x:f>--AND(F24=1,D24='Calculator'!$B$4)</x:f>
        <x:v>0</x:v>
      </x:c>
      <x:c r="I24" t="n">
        <x:f>--AND(H24=1,G24=1)</x:f>
        <x:v>0</x:v>
      </x:c>
      <x:c r="J24" t="n">
        <x:f>--AND(F24=1,E24='Calculator'!$B$4)</x:f>
        <x:v>0</x:v>
      </x:c>
      <x:c r="K24" t="n">
        <x:f>--AND(J24=1,G24=1)</x:f>
        <x:v>0</x:v>
      </x:c>
      <x:c r="L24" t="str">
        <x:f>A24&amp;"/"&amp;B24&amp;"/"&amp;C24</x:f>
        <x:v>6/8/8</x:v>
      </x:c>
      <x:c r="M24" t="str">
        <x:f>MIN(15,A24+'Calculator'!$B$6)&amp;"/"&amp;MIN(15,B24+'Calculator'!$B$6)&amp;"/"&amp;MIN(15,C24+'Calculator'!$B$6)</x:f>
        <x:v>8/10/10</x:v>
      </x:c>
    </x:row>
    <x:row r="25">
      <x:c r="A25" t="n">
        <x:v>6</x:v>
      </x:c>
      <x:c r="B25" t="n">
        <x:v>8</x:v>
      </x:c>
      <x:c r="C25" t="n">
        <x:v>9</x:v>
      </x:c>
      <x:c r="D25" t="n">
        <x:f>MAX(10,ROUNDDOWN((('Calculator'!$B$10+A25)*SQRT('Calculator'!$B$11+B25)*SQRT('Calculator'!$B$12+C25)*0.59740001^2)/10,0))</x:f>
        <x:v>2247</x:v>
      </x:c>
      <x:c r="E25" t="n">
        <x:f>MAX(10,ROUNDDOWN((('Calculator'!$B$10+A25)*SQRT('Calculator'!$B$11+B25)*SQRT('Calculator'!$B$12+C25)*0.667934^2)/10,0))</x:f>
        <x:v>2810</x:v>
      </x:c>
      <x:c r="F25" t="n">
        <x:f>--AND(A25&gt;='Calculator'!$B$5,B25&gt;='Calculator'!$B$5,C25&gt;='Calculator'!$B$5)</x:f>
        <x:v>1</x:v>
      </x:c>
      <x:c r="G25" t="n">
        <x:f>--AND(A25+'Calculator'!$B$6&gt;=15,B25+'Calculator'!$B$6&gt;=15,C25+'Calculator'!$B$6&gt;=15)</x:f>
        <x:v>0</x:v>
      </x:c>
      <x:c r="H25" t="n">
        <x:f>--AND(F25=1,D25='Calculator'!$B$4)</x:f>
        <x:v>0</x:v>
      </x:c>
      <x:c r="I25" t="n">
        <x:f>--AND(H25=1,G25=1)</x:f>
        <x:v>0</x:v>
      </x:c>
      <x:c r="J25" t="n">
        <x:f>--AND(F25=1,E25='Calculator'!$B$4)</x:f>
        <x:v>0</x:v>
      </x:c>
      <x:c r="K25" t="n">
        <x:f>--AND(J25=1,G25=1)</x:f>
        <x:v>0</x:v>
      </x:c>
      <x:c r="L25" t="str">
        <x:f>A25&amp;"/"&amp;B25&amp;"/"&amp;C25</x:f>
        <x:v>6/8/9</x:v>
      </x:c>
      <x:c r="M25" t="str">
        <x:f>MIN(15,A25+'Calculator'!$B$6)&amp;"/"&amp;MIN(15,B25+'Calculator'!$B$6)&amp;"/"&amp;MIN(15,C25+'Calculator'!$B$6)</x:f>
        <x:v>8/10/11</x:v>
      </x:c>
    </x:row>
    <x:row r="26">
      <x:c r="A26" t="n">
        <x:v>6</x:v>
      </x:c>
      <x:c r="B26" t="n">
        <x:v>8</x:v>
      </x:c>
      <x:c r="C26" t="n">
        <x:v>10</x:v>
      </x:c>
      <x:c r="D26" t="n">
        <x:f>MAX(10,ROUNDDOWN((('Calculator'!$B$10+A26)*SQRT('Calculator'!$B$11+B26)*SQRT('Calculator'!$B$12+C26)*0.59740001^2)/10,0))</x:f>
        <x:v>2252</x:v>
      </x:c>
      <x:c r="E26" t="n">
        <x:f>MAX(10,ROUNDDOWN((('Calculator'!$B$10+A26)*SQRT('Calculator'!$B$11+B26)*SQRT('Calculator'!$B$12+C26)*0.667934^2)/10,0))</x:f>
        <x:v>2816</x:v>
      </x:c>
      <x:c r="F26" t="n">
        <x:f>--AND(A26&gt;='Calculator'!$B$5,B26&gt;='Calculator'!$B$5,C26&gt;='Calculator'!$B$5)</x:f>
        <x:v>1</x:v>
      </x:c>
      <x:c r="G26" t="n">
        <x:f>--AND(A26+'Calculator'!$B$6&gt;=15,B26+'Calculator'!$B$6&gt;=15,C26+'Calculator'!$B$6&gt;=15)</x:f>
        <x:v>0</x:v>
      </x:c>
      <x:c r="H26" t="n">
        <x:f>--AND(F26=1,D26='Calculator'!$B$4)</x:f>
        <x:v>0</x:v>
      </x:c>
      <x:c r="I26" t="n">
        <x:f>--AND(H26=1,G26=1)</x:f>
        <x:v>0</x:v>
      </x:c>
      <x:c r="J26" t="n">
        <x:f>--AND(F26=1,E26='Calculator'!$B$4)</x:f>
        <x:v>0</x:v>
      </x:c>
      <x:c r="K26" t="n">
        <x:f>--AND(J26=1,G26=1)</x:f>
        <x:v>0</x:v>
      </x:c>
      <x:c r="L26" t="str">
        <x:f>A26&amp;"/"&amp;B26&amp;"/"&amp;C26</x:f>
        <x:v>6/8/10</x:v>
      </x:c>
      <x:c r="M26" t="str">
        <x:f>MIN(15,A26+'Calculator'!$B$6)&amp;"/"&amp;MIN(15,B26+'Calculator'!$B$6)&amp;"/"&amp;MIN(15,C26+'Calculator'!$B$6)</x:f>
        <x:v>8/10/12</x:v>
      </x:c>
    </x:row>
    <x:row r="27">
      <x:c r="A27" t="n">
        <x:v>6</x:v>
      </x:c>
      <x:c r="B27" t="n">
        <x:v>8</x:v>
      </x:c>
      <x:c r="C27" t="n">
        <x:v>11</x:v>
      </x:c>
      <x:c r="D27" t="n">
        <x:f>MAX(10,ROUNDDOWN((('Calculator'!$B$10+A27)*SQRT('Calculator'!$B$11+B27)*SQRT('Calculator'!$B$12+C27)*0.59740001^2)/10,0))</x:f>
        <x:v>2257</x:v>
      </x:c>
      <x:c r="E27" t="n">
        <x:f>MAX(10,ROUNDDOWN((('Calculator'!$B$10+A27)*SQRT('Calculator'!$B$11+B27)*SQRT('Calculator'!$B$12+C27)*0.667934^2)/10,0))</x:f>
        <x:v>2822</x:v>
      </x:c>
      <x:c r="F27" t="n">
        <x:f>--AND(A27&gt;='Calculator'!$B$5,B27&gt;='Calculator'!$B$5,C27&gt;='Calculator'!$B$5)</x:f>
        <x:v>1</x:v>
      </x:c>
      <x:c r="G27" t="n">
        <x:f>--AND(A27+'Calculator'!$B$6&gt;=15,B27+'Calculator'!$B$6&gt;=15,C27+'Calculator'!$B$6&gt;=15)</x:f>
        <x:v>0</x:v>
      </x:c>
      <x:c r="H27" t="n">
        <x:f>--AND(F27=1,D27='Calculator'!$B$4)</x:f>
        <x:v>0</x:v>
      </x:c>
      <x:c r="I27" t="n">
        <x:f>--AND(H27=1,G27=1)</x:f>
        <x:v>0</x:v>
      </x:c>
      <x:c r="J27" t="n">
        <x:f>--AND(F27=1,E27='Calculator'!$B$4)</x:f>
        <x:v>0</x:v>
      </x:c>
      <x:c r="K27" t="n">
        <x:f>--AND(J27=1,G27=1)</x:f>
        <x:v>0</x:v>
      </x:c>
      <x:c r="L27" t="str">
        <x:f>A27&amp;"/"&amp;B27&amp;"/"&amp;C27</x:f>
        <x:v>6/8/11</x:v>
      </x:c>
      <x:c r="M27" t="str">
        <x:f>MIN(15,A27+'Calculator'!$B$6)&amp;"/"&amp;MIN(15,B27+'Calculator'!$B$6)&amp;"/"&amp;MIN(15,C27+'Calculator'!$B$6)</x:f>
        <x:v>8/10/13</x:v>
      </x:c>
    </x:row>
    <x:row r="28">
      <x:c r="A28" t="n">
        <x:v>6</x:v>
      </x:c>
      <x:c r="B28" t="n">
        <x:v>8</x:v>
      </x:c>
      <x:c r="C28" t="n">
        <x:v>12</x:v>
      </x:c>
      <x:c r="D28" t="n">
        <x:f>MAX(10,ROUNDDOWN((('Calculator'!$B$10+A28)*SQRT('Calculator'!$B$11+B28)*SQRT('Calculator'!$B$12+C28)*0.59740001^2)/10,0))</x:f>
        <x:v>2262</x:v>
      </x:c>
      <x:c r="E28" t="n">
        <x:f>MAX(10,ROUNDDOWN((('Calculator'!$B$10+A28)*SQRT('Calculator'!$B$11+B28)*SQRT('Calculator'!$B$12+C28)*0.667934^2)/10,0))</x:f>
        <x:v>2828</x:v>
      </x:c>
      <x:c r="F28" t="n">
        <x:f>--AND(A28&gt;='Calculator'!$B$5,B28&gt;='Calculator'!$B$5,C28&gt;='Calculator'!$B$5)</x:f>
        <x:v>1</x:v>
      </x:c>
      <x:c r="G28" t="n">
        <x:f>--AND(A28+'Calculator'!$B$6&gt;=15,B28+'Calculator'!$B$6&gt;=15,C28+'Calculator'!$B$6&gt;=15)</x:f>
        <x:v>0</x:v>
      </x:c>
      <x:c r="H28" t="n">
        <x:f>--AND(F28=1,D28='Calculator'!$B$4)</x:f>
        <x:v>0</x:v>
      </x:c>
      <x:c r="I28" t="n">
        <x:f>--AND(H28=1,G28=1)</x:f>
        <x:v>0</x:v>
      </x:c>
      <x:c r="J28" t="n">
        <x:f>--AND(F28=1,E28='Calculator'!$B$4)</x:f>
        <x:v>0</x:v>
      </x:c>
      <x:c r="K28" t="n">
        <x:f>--AND(J28=1,G28=1)</x:f>
        <x:v>0</x:v>
      </x:c>
      <x:c r="L28" t="str">
        <x:f>A28&amp;"/"&amp;B28&amp;"/"&amp;C28</x:f>
        <x:v>6/8/12</x:v>
      </x:c>
      <x:c r="M28" t="str">
        <x:f>MIN(15,A28+'Calculator'!$B$6)&amp;"/"&amp;MIN(15,B28+'Calculator'!$B$6)&amp;"/"&amp;MIN(15,C28+'Calculator'!$B$6)</x:f>
        <x:v>8/10/14</x:v>
      </x:c>
    </x:row>
    <x:row r="29">
      <x:c r="A29" t="n">
        <x:v>6</x:v>
      </x:c>
      <x:c r="B29" t="n">
        <x:v>8</x:v>
      </x:c>
      <x:c r="C29" t="n">
        <x:v>13</x:v>
      </x:c>
      <x:c r="D29" t="n">
        <x:f>MAX(10,ROUNDDOWN((('Calculator'!$B$10+A29)*SQRT('Calculator'!$B$11+B29)*SQRT('Calculator'!$B$12+C29)*0.59740001^2)/10,0))</x:f>
        <x:v>2267</x:v>
      </x:c>
      <x:c r="E29" t="n">
        <x:f>MAX(10,ROUNDDOWN((('Calculator'!$B$10+A29)*SQRT('Calculator'!$B$11+B29)*SQRT('Calculator'!$B$12+C29)*0.667934^2)/10,0))</x:f>
        <x:v>2835</x:v>
      </x:c>
      <x:c r="F29" t="n">
        <x:f>--AND(A29&gt;='Calculator'!$B$5,B29&gt;='Calculator'!$B$5,C29&gt;='Calculator'!$B$5)</x:f>
        <x:v>1</x:v>
      </x:c>
      <x:c r="G29" t="n">
        <x:f>--AND(A29+'Calculator'!$B$6&gt;=15,B29+'Calculator'!$B$6&gt;=15,C29+'Calculator'!$B$6&gt;=15)</x:f>
        <x:v>0</x:v>
      </x:c>
      <x:c r="H29" t="n">
        <x:f>--AND(F29=1,D29='Calculator'!$B$4)</x:f>
        <x:v>0</x:v>
      </x:c>
      <x:c r="I29" t="n">
        <x:f>--AND(H29=1,G29=1)</x:f>
        <x:v>0</x:v>
      </x:c>
      <x:c r="J29" t="n">
        <x:f>--AND(F29=1,E29='Calculator'!$B$4)</x:f>
        <x:v>0</x:v>
      </x:c>
      <x:c r="K29" t="n">
        <x:f>--AND(J29=1,G29=1)</x:f>
        <x:v>0</x:v>
      </x:c>
      <x:c r="L29" t="str">
        <x:f>A29&amp;"/"&amp;B29&amp;"/"&amp;C29</x:f>
        <x:v>6/8/13</x:v>
      </x:c>
      <x:c r="M29" t="str">
        <x:f>MIN(15,A29+'Calculator'!$B$6)&amp;"/"&amp;MIN(15,B29+'Calculator'!$B$6)&amp;"/"&amp;MIN(15,C29+'Calculator'!$B$6)</x:f>
        <x:v>8/10/15</x:v>
      </x:c>
    </x:row>
    <x:row r="30">
      <x:c r="A30" t="n">
        <x:v>6</x:v>
      </x:c>
      <x:c r="B30" t="n">
        <x:v>8</x:v>
      </x:c>
      <x:c r="C30" t="n">
        <x:v>14</x:v>
      </x:c>
      <x:c r="D30" t="n">
        <x:f>MAX(10,ROUNDDOWN((('Calculator'!$B$10+A30)*SQRT('Calculator'!$B$11+B30)*SQRT('Calculator'!$B$12+C30)*0.59740001^2)/10,0))</x:f>
        <x:v>2272</x:v>
      </x:c>
      <x:c r="E30" t="n">
        <x:f>MAX(10,ROUNDDOWN((('Calculator'!$B$10+A30)*SQRT('Calculator'!$B$11+B30)*SQRT('Calculator'!$B$12+C30)*0.667934^2)/10,0))</x:f>
        <x:v>2841</x:v>
      </x:c>
      <x:c r="F30" t="n">
        <x:f>--AND(A30&gt;='Calculator'!$B$5,B30&gt;='Calculator'!$B$5,C30&gt;='Calculator'!$B$5)</x:f>
        <x:v>1</x:v>
      </x:c>
      <x:c r="G30" t="n">
        <x:f>--AND(A30+'Calculator'!$B$6&gt;=15,B30+'Calculator'!$B$6&gt;=15,C30+'Calculator'!$B$6&gt;=15)</x:f>
        <x:v>0</x:v>
      </x:c>
      <x:c r="H30" t="n">
        <x:f>--AND(F30=1,D30='Calculator'!$B$4)</x:f>
        <x:v>0</x:v>
      </x:c>
      <x:c r="I30" t="n">
        <x:f>--AND(H30=1,G30=1)</x:f>
        <x:v>0</x:v>
      </x:c>
      <x:c r="J30" t="n">
        <x:f>--AND(F30=1,E30='Calculator'!$B$4)</x:f>
        <x:v>0</x:v>
      </x:c>
      <x:c r="K30" t="n">
        <x:f>--AND(J30=1,G30=1)</x:f>
        <x:v>0</x:v>
      </x:c>
      <x:c r="L30" t="str">
        <x:f>A30&amp;"/"&amp;B30&amp;"/"&amp;C30</x:f>
        <x:v>6/8/14</x:v>
      </x:c>
      <x:c r="M30" t="str">
        <x:f>MIN(15,A30+'Calculator'!$B$6)&amp;"/"&amp;MIN(15,B30+'Calculator'!$B$6)&amp;"/"&amp;MIN(15,C30+'Calculator'!$B$6)</x:f>
        <x:v>8/10/15</x:v>
      </x:c>
    </x:row>
    <x:row r="31">
      <x:c r="A31" t="n">
        <x:v>6</x:v>
      </x:c>
      <x:c r="B31" t="n">
        <x:v>8</x:v>
      </x:c>
      <x:c r="C31" t="n">
        <x:v>15</x:v>
      </x:c>
      <x:c r="D31" t="n">
        <x:f>MAX(10,ROUNDDOWN((('Calculator'!$B$10+A31)*SQRT('Calculator'!$B$11+B31)*SQRT('Calculator'!$B$12+C31)*0.59740001^2)/10,0))</x:f>
        <x:v>2277</x:v>
      </x:c>
      <x:c r="E31" t="n">
        <x:f>MAX(10,ROUNDDOWN((('Calculator'!$B$10+A31)*SQRT('Calculator'!$B$11+B31)*SQRT('Calculator'!$B$12+C31)*0.667934^2)/10,0))</x:f>
        <x:v>2847</x:v>
      </x:c>
      <x:c r="F31" t="n">
        <x:f>--AND(A31&gt;='Calculator'!$B$5,B31&gt;='Calculator'!$B$5,C31&gt;='Calculator'!$B$5)</x:f>
        <x:v>1</x:v>
      </x:c>
      <x:c r="G31" t="n">
        <x:f>--AND(A31+'Calculator'!$B$6&gt;=15,B31+'Calculator'!$B$6&gt;=15,C31+'Calculator'!$B$6&gt;=15)</x:f>
        <x:v>0</x:v>
      </x:c>
      <x:c r="H31" t="n">
        <x:f>--AND(F31=1,D31='Calculator'!$B$4)</x:f>
        <x:v>0</x:v>
      </x:c>
      <x:c r="I31" t="n">
        <x:f>--AND(H31=1,G31=1)</x:f>
        <x:v>0</x:v>
      </x:c>
      <x:c r="J31" t="n">
        <x:f>--AND(F31=1,E31='Calculator'!$B$4)</x:f>
        <x:v>0</x:v>
      </x:c>
      <x:c r="K31" t="n">
        <x:f>--AND(J31=1,G31=1)</x:f>
        <x:v>0</x:v>
      </x:c>
      <x:c r="L31" t="str">
        <x:f>A31&amp;"/"&amp;B31&amp;"/"&amp;C31</x:f>
        <x:v>6/8/15</x:v>
      </x:c>
      <x:c r="M31" t="str">
        <x:f>MIN(15,A31+'Calculator'!$B$6)&amp;"/"&amp;MIN(15,B31+'Calculator'!$B$6)&amp;"/"&amp;MIN(15,C31+'Calculator'!$B$6)</x:f>
        <x:v>8/10/15</x:v>
      </x:c>
    </x:row>
    <x:row r="32">
      <x:c r="A32" t="n">
        <x:v>6</x:v>
      </x:c>
      <x:c r="B32" t="n">
        <x:v>9</x:v>
      </x:c>
      <x:c r="C32" t="n">
        <x:v>6</x:v>
      </x:c>
      <x:c r="D32" t="n">
        <x:f>MAX(10,ROUNDDOWN((('Calculator'!$B$10+A32)*SQRT('Calculator'!$B$11+B32)*SQRT('Calculator'!$B$12+C32)*0.59740001^2)/10,0))</x:f>
        <x:v>2238</x:v>
      </x:c>
      <x:c r="E32" t="n">
        <x:f>MAX(10,ROUNDDOWN((('Calculator'!$B$10+A32)*SQRT('Calculator'!$B$11+B32)*SQRT('Calculator'!$B$12+C32)*0.667934^2)/10,0))</x:f>
        <x:v>2798</x:v>
      </x:c>
      <x:c r="F32" t="n">
        <x:f>--AND(A32&gt;='Calculator'!$B$5,B32&gt;='Calculator'!$B$5,C32&gt;='Calculator'!$B$5)</x:f>
        <x:v>1</x:v>
      </x:c>
      <x:c r="G32" t="n">
        <x:f>--AND(A32+'Calculator'!$B$6&gt;=15,B32+'Calculator'!$B$6&gt;=15,C32+'Calculator'!$B$6&gt;=15)</x:f>
        <x:v>0</x:v>
      </x:c>
      <x:c r="H32" t="n">
        <x:f>--AND(F32=1,D32='Calculator'!$B$4)</x:f>
        <x:v>0</x:v>
      </x:c>
      <x:c r="I32" t="n">
        <x:f>--AND(H32=1,G32=1)</x:f>
        <x:v>0</x:v>
      </x:c>
      <x:c r="J32" t="n">
        <x:f>--AND(F32=1,E32='Calculator'!$B$4)</x:f>
        <x:v>0</x:v>
      </x:c>
      <x:c r="K32" t="n">
        <x:f>--AND(J32=1,G32=1)</x:f>
        <x:v>0</x:v>
      </x:c>
      <x:c r="L32" t="str">
        <x:f>A32&amp;"/"&amp;B32&amp;"/"&amp;C32</x:f>
        <x:v>6/9/6</x:v>
      </x:c>
      <x:c r="M32" t="str">
        <x:f>MIN(15,A32+'Calculator'!$B$6)&amp;"/"&amp;MIN(15,B32+'Calculator'!$B$6)&amp;"/"&amp;MIN(15,C32+'Calculator'!$B$6)</x:f>
        <x:v>8/11/8</x:v>
      </x:c>
    </x:row>
    <x:row r="33">
      <x:c r="A33" t="n">
        <x:v>6</x:v>
      </x:c>
      <x:c r="B33" t="n">
        <x:v>9</x:v>
      </x:c>
      <x:c r="C33" t="n">
        <x:v>7</x:v>
      </x:c>
      <x:c r="D33" t="n">
        <x:f>MAX(10,ROUNDDOWN((('Calculator'!$B$10+A33)*SQRT('Calculator'!$B$11+B33)*SQRT('Calculator'!$B$12+C33)*0.59740001^2)/10,0))</x:f>
        <x:v>2243</x:v>
      </x:c>
      <x:c r="E33" t="n">
        <x:f>MAX(10,ROUNDDOWN((('Calculator'!$B$10+A33)*SQRT('Calculator'!$B$11+B33)*SQRT('Calculator'!$B$12+C33)*0.667934^2)/10,0))</x:f>
        <x:v>2804</x:v>
      </x:c>
      <x:c r="F33" t="n">
        <x:f>--AND(A33&gt;='Calculator'!$B$5,B33&gt;='Calculator'!$B$5,C33&gt;='Calculator'!$B$5)</x:f>
        <x:v>1</x:v>
      </x:c>
      <x:c r="G33" t="n">
        <x:f>--AND(A33+'Calculator'!$B$6&gt;=15,B33+'Calculator'!$B$6&gt;=15,C33+'Calculator'!$B$6&gt;=15)</x:f>
        <x:v>0</x:v>
      </x:c>
      <x:c r="H33" t="n">
        <x:f>--AND(F33=1,D33='Calculator'!$B$4)</x:f>
        <x:v>0</x:v>
      </x:c>
      <x:c r="I33" t="n">
        <x:f>--AND(H33=1,G33=1)</x:f>
        <x:v>0</x:v>
      </x:c>
      <x:c r="J33" t="n">
        <x:f>--AND(F33=1,E33='Calculator'!$B$4)</x:f>
        <x:v>0</x:v>
      </x:c>
      <x:c r="K33" t="n">
        <x:f>--AND(J33=1,G33=1)</x:f>
        <x:v>0</x:v>
      </x:c>
      <x:c r="L33" t="str">
        <x:f>A33&amp;"/"&amp;B33&amp;"/"&amp;C33</x:f>
        <x:v>6/9/7</x:v>
      </x:c>
      <x:c r="M33" t="str">
        <x:f>MIN(15,A33+'Calculator'!$B$6)&amp;"/"&amp;MIN(15,B33+'Calculator'!$B$6)&amp;"/"&amp;MIN(15,C33+'Calculator'!$B$6)</x:f>
        <x:v>8/11/9</x:v>
      </x:c>
    </x:row>
    <x:row r="34">
      <x:c r="A34" t="n">
        <x:v>6</x:v>
      </x:c>
      <x:c r="B34" t="n">
        <x:v>9</x:v>
      </x:c>
      <x:c r="C34" t="n">
        <x:v>8</x:v>
      </x:c>
      <x:c r="D34" t="n">
        <x:f>MAX(10,ROUNDDOWN((('Calculator'!$B$10+A34)*SQRT('Calculator'!$B$11+B34)*SQRT('Calculator'!$B$12+C34)*0.59740001^2)/10,0))</x:f>
        <x:v>2248</x:v>
      </x:c>
      <x:c r="E34" t="n">
        <x:f>MAX(10,ROUNDDOWN((('Calculator'!$B$10+A34)*SQRT('Calculator'!$B$11+B34)*SQRT('Calculator'!$B$12+C34)*0.667934^2)/10,0))</x:f>
        <x:v>2811</x:v>
      </x:c>
      <x:c r="F34" t="n">
        <x:f>--AND(A34&gt;='Calculator'!$B$5,B34&gt;='Calculator'!$B$5,C34&gt;='Calculator'!$B$5)</x:f>
        <x:v>1</x:v>
      </x:c>
      <x:c r="G34" t="n">
        <x:f>--AND(A34+'Calculator'!$B$6&gt;=15,B34+'Calculator'!$B$6&gt;=15,C34+'Calculator'!$B$6&gt;=15)</x:f>
        <x:v>0</x:v>
      </x:c>
      <x:c r="H34" t="n">
        <x:f>--AND(F34=1,D34='Calculator'!$B$4)</x:f>
        <x:v>0</x:v>
      </x:c>
      <x:c r="I34" t="n">
        <x:f>--AND(H34=1,G34=1)</x:f>
        <x:v>0</x:v>
      </x:c>
      <x:c r="J34" t="n">
        <x:f>--AND(F34=1,E34='Calculator'!$B$4)</x:f>
        <x:v>0</x:v>
      </x:c>
      <x:c r="K34" t="n">
        <x:f>--AND(J34=1,G34=1)</x:f>
        <x:v>0</x:v>
      </x:c>
      <x:c r="L34" t="str">
        <x:f>A34&amp;"/"&amp;B34&amp;"/"&amp;C34</x:f>
        <x:v>6/9/8</x:v>
      </x:c>
      <x:c r="M34" t="str">
        <x:f>MIN(15,A34+'Calculator'!$B$6)&amp;"/"&amp;MIN(15,B34+'Calculator'!$B$6)&amp;"/"&amp;MIN(15,C34+'Calculator'!$B$6)</x:f>
        <x:v>8/11/10</x:v>
      </x:c>
    </x:row>
    <x:row r="35">
      <x:c r="A35" t="n">
        <x:v>6</x:v>
      </x:c>
      <x:c r="B35" t="n">
        <x:v>9</x:v>
      </x:c>
      <x:c r="C35" t="n">
        <x:v>9</x:v>
      </x:c>
      <x:c r="D35" t="n">
        <x:f>MAX(10,ROUNDDOWN((('Calculator'!$B$10+A35)*SQRT('Calculator'!$B$11+B35)*SQRT('Calculator'!$B$12+C35)*0.59740001^2)/10,0))</x:f>
        <x:v>2253</x:v>
      </x:c>
      <x:c r="E35" t="n">
        <x:f>MAX(10,ROUNDDOWN((('Calculator'!$B$10+A35)*SQRT('Calculator'!$B$11+B35)*SQRT('Calculator'!$B$12+C35)*0.667934^2)/10,0))</x:f>
        <x:v>2817</x:v>
      </x:c>
      <x:c r="F35" t="n">
        <x:f>--AND(A35&gt;='Calculator'!$B$5,B35&gt;='Calculator'!$B$5,C35&gt;='Calculator'!$B$5)</x:f>
        <x:v>1</x:v>
      </x:c>
      <x:c r="G35" t="n">
        <x:f>--AND(A35+'Calculator'!$B$6&gt;=15,B35+'Calculator'!$B$6&gt;=15,C35+'Calculator'!$B$6&gt;=15)</x:f>
        <x:v>0</x:v>
      </x:c>
      <x:c r="H35" t="n">
        <x:f>--AND(F35=1,D35='Calculator'!$B$4)</x:f>
        <x:v>0</x:v>
      </x:c>
      <x:c r="I35" t="n">
        <x:f>--AND(H35=1,G35=1)</x:f>
        <x:v>0</x:v>
      </x:c>
      <x:c r="J35" t="n">
        <x:f>--AND(F35=1,E35='Calculator'!$B$4)</x:f>
        <x:v>0</x:v>
      </x:c>
      <x:c r="K35" t="n">
        <x:f>--AND(J35=1,G35=1)</x:f>
        <x:v>0</x:v>
      </x:c>
      <x:c r="L35" t="str">
        <x:f>A35&amp;"/"&amp;B35&amp;"/"&amp;C35</x:f>
        <x:v>6/9/9</x:v>
      </x:c>
      <x:c r="M35" t="str">
        <x:f>MIN(15,A35+'Calculator'!$B$6)&amp;"/"&amp;MIN(15,B35+'Calculator'!$B$6)&amp;"/"&amp;MIN(15,C35+'Calculator'!$B$6)</x:f>
        <x:v>8/11/11</x:v>
      </x:c>
    </x:row>
    <x:row r="36">
      <x:c r="A36" t="n">
        <x:v>6</x:v>
      </x:c>
      <x:c r="B36" t="n">
        <x:v>9</x:v>
      </x:c>
      <x:c r="C36" t="n">
        <x:v>10</x:v>
      </x:c>
      <x:c r="D36" t="n">
        <x:f>MAX(10,ROUNDDOWN((('Calculator'!$B$10+A36)*SQRT('Calculator'!$B$11+B36)*SQRT('Calculator'!$B$12+C36)*0.59740001^2)/10,0))</x:f>
        <x:v>2258</x:v>
      </x:c>
      <x:c r="E36" t="n">
        <x:f>MAX(10,ROUNDDOWN((('Calculator'!$B$10+A36)*SQRT('Calculator'!$B$11+B36)*SQRT('Calculator'!$B$12+C36)*0.667934^2)/10,0))</x:f>
        <x:v>2823</x:v>
      </x:c>
      <x:c r="F36" t="n">
        <x:f>--AND(A36&gt;='Calculator'!$B$5,B36&gt;='Calculator'!$B$5,C36&gt;='Calculator'!$B$5)</x:f>
        <x:v>1</x:v>
      </x:c>
      <x:c r="G36" t="n">
        <x:f>--AND(A36+'Calculator'!$B$6&gt;=15,B36+'Calculator'!$B$6&gt;=15,C36+'Calculator'!$B$6&gt;=15)</x:f>
        <x:v>0</x:v>
      </x:c>
      <x:c r="H36" t="n">
        <x:f>--AND(F36=1,D36='Calculator'!$B$4)</x:f>
        <x:v>0</x:v>
      </x:c>
      <x:c r="I36" t="n">
        <x:f>--AND(H36=1,G36=1)</x:f>
        <x:v>0</x:v>
      </x:c>
      <x:c r="J36" t="n">
        <x:f>--AND(F36=1,E36='Calculator'!$B$4)</x:f>
        <x:v>0</x:v>
      </x:c>
      <x:c r="K36" t="n">
        <x:f>--AND(J36=1,G36=1)</x:f>
        <x:v>0</x:v>
      </x:c>
      <x:c r="L36" t="str">
        <x:f>A36&amp;"/"&amp;B36&amp;"/"&amp;C36</x:f>
        <x:v>6/9/10</x:v>
      </x:c>
      <x:c r="M36" t="str">
        <x:f>MIN(15,A36+'Calculator'!$B$6)&amp;"/"&amp;MIN(15,B36+'Calculator'!$B$6)&amp;"/"&amp;MIN(15,C36+'Calculator'!$B$6)</x:f>
        <x:v>8/11/12</x:v>
      </x:c>
    </x:row>
    <x:row r="37">
      <x:c r="A37" t="n">
        <x:v>6</x:v>
      </x:c>
      <x:c r="B37" t="n">
        <x:v>9</x:v>
      </x:c>
      <x:c r="C37" t="n">
        <x:v>11</x:v>
      </x:c>
      <x:c r="D37" t="n">
        <x:f>MAX(10,ROUNDDOWN((('Calculator'!$B$10+A37)*SQRT('Calculator'!$B$11+B37)*SQRT('Calculator'!$B$12+C37)*0.59740001^2)/10,0))</x:f>
        <x:v>2263</x:v>
      </x:c>
      <x:c r="E37" t="n">
        <x:f>MAX(10,ROUNDDOWN((('Calculator'!$B$10+A37)*SQRT('Calculator'!$B$11+B37)*SQRT('Calculator'!$B$12+C37)*0.667934^2)/10,0))</x:f>
        <x:v>2830</x:v>
      </x:c>
      <x:c r="F37" t="n">
        <x:f>--AND(A37&gt;='Calculator'!$B$5,B37&gt;='Calculator'!$B$5,C37&gt;='Calculator'!$B$5)</x:f>
        <x:v>1</x:v>
      </x:c>
      <x:c r="G37" t="n">
        <x:f>--AND(A37+'Calculator'!$B$6&gt;=15,B37+'Calculator'!$B$6&gt;=15,C37+'Calculator'!$B$6&gt;=15)</x:f>
        <x:v>0</x:v>
      </x:c>
      <x:c r="H37" t="n">
        <x:f>--AND(F37=1,D37='Calculator'!$B$4)</x:f>
        <x:v>0</x:v>
      </x:c>
      <x:c r="I37" t="n">
        <x:f>--AND(H37=1,G37=1)</x:f>
        <x:v>0</x:v>
      </x:c>
      <x:c r="J37" t="n">
        <x:f>--AND(F37=1,E37='Calculator'!$B$4)</x:f>
        <x:v>0</x:v>
      </x:c>
      <x:c r="K37" t="n">
        <x:f>--AND(J37=1,G37=1)</x:f>
        <x:v>0</x:v>
      </x:c>
      <x:c r="L37" t="str">
        <x:f>A37&amp;"/"&amp;B37&amp;"/"&amp;C37</x:f>
        <x:v>6/9/11</x:v>
      </x:c>
      <x:c r="M37" t="str">
        <x:f>MIN(15,A37+'Calculator'!$B$6)&amp;"/"&amp;MIN(15,B37+'Calculator'!$B$6)&amp;"/"&amp;MIN(15,C37+'Calculator'!$B$6)</x:f>
        <x:v>8/11/13</x:v>
      </x:c>
    </x:row>
    <x:row r="38">
      <x:c r="A38" t="n">
        <x:v>6</x:v>
      </x:c>
      <x:c r="B38" t="n">
        <x:v>9</x:v>
      </x:c>
      <x:c r="C38" t="n">
        <x:v>12</x:v>
      </x:c>
      <x:c r="D38" t="n">
        <x:f>MAX(10,ROUNDDOWN((('Calculator'!$B$10+A38)*SQRT('Calculator'!$B$11+B38)*SQRT('Calculator'!$B$12+C38)*0.59740001^2)/10,0))</x:f>
        <x:v>2268</x:v>
      </x:c>
      <x:c r="E38" t="n">
        <x:f>MAX(10,ROUNDDOWN((('Calculator'!$B$10+A38)*SQRT('Calculator'!$B$11+B38)*SQRT('Calculator'!$B$12+C38)*0.667934^2)/10,0))</x:f>
        <x:v>2836</x:v>
      </x:c>
      <x:c r="F38" t="n">
        <x:f>--AND(A38&gt;='Calculator'!$B$5,B38&gt;='Calculator'!$B$5,C38&gt;='Calculator'!$B$5)</x:f>
        <x:v>1</x:v>
      </x:c>
      <x:c r="G38" t="n">
        <x:f>--AND(A38+'Calculator'!$B$6&gt;=15,B38+'Calculator'!$B$6&gt;=15,C38+'Calculator'!$B$6&gt;=15)</x:f>
        <x:v>0</x:v>
      </x:c>
      <x:c r="H38" t="n">
        <x:f>--AND(F38=1,D38='Calculator'!$B$4)</x:f>
        <x:v>0</x:v>
      </x:c>
      <x:c r="I38" t="n">
        <x:f>--AND(H38=1,G38=1)</x:f>
        <x:v>0</x:v>
      </x:c>
      <x:c r="J38" t="n">
        <x:f>--AND(F38=1,E38='Calculator'!$B$4)</x:f>
        <x:v>0</x:v>
      </x:c>
      <x:c r="K38" t="n">
        <x:f>--AND(J38=1,G38=1)</x:f>
        <x:v>0</x:v>
      </x:c>
      <x:c r="L38" t="str">
        <x:f>A38&amp;"/"&amp;B38&amp;"/"&amp;C38</x:f>
        <x:v>6/9/12</x:v>
      </x:c>
      <x:c r="M38" t="str">
        <x:f>MIN(15,A38+'Calculator'!$B$6)&amp;"/"&amp;MIN(15,B38+'Calculator'!$B$6)&amp;"/"&amp;MIN(15,C38+'Calculator'!$B$6)</x:f>
        <x:v>8/11/14</x:v>
      </x:c>
    </x:row>
    <x:row r="39">
      <x:c r="A39" t="n">
        <x:v>6</x:v>
      </x:c>
      <x:c r="B39" t="n">
        <x:v>9</x:v>
      </x:c>
      <x:c r="C39" t="n">
        <x:v>13</x:v>
      </x:c>
      <x:c r="D39" t="n">
        <x:f>MAX(10,ROUNDDOWN((('Calculator'!$B$10+A39)*SQRT('Calculator'!$B$11+B39)*SQRT('Calculator'!$B$12+C39)*0.59740001^2)/10,0))</x:f>
        <x:v>2273</x:v>
      </x:c>
      <x:c r="E39" t="n">
        <x:f>MAX(10,ROUNDDOWN((('Calculator'!$B$10+A39)*SQRT('Calculator'!$B$11+B39)*SQRT('Calculator'!$B$12+C39)*0.667934^2)/10,0))</x:f>
        <x:v>2842</x:v>
      </x:c>
      <x:c r="F39" t="n">
        <x:f>--AND(A39&gt;='Calculator'!$B$5,B39&gt;='Calculator'!$B$5,C39&gt;='Calculator'!$B$5)</x:f>
        <x:v>1</x:v>
      </x:c>
      <x:c r="G39" t="n">
        <x:f>--AND(A39+'Calculator'!$B$6&gt;=15,B39+'Calculator'!$B$6&gt;=15,C39+'Calculator'!$B$6&gt;=15)</x:f>
        <x:v>0</x:v>
      </x:c>
      <x:c r="H39" t="n">
        <x:f>--AND(F39=1,D39='Calculator'!$B$4)</x:f>
        <x:v>0</x:v>
      </x:c>
      <x:c r="I39" t="n">
        <x:f>--AND(H39=1,G39=1)</x:f>
        <x:v>0</x:v>
      </x:c>
      <x:c r="J39" t="n">
        <x:f>--AND(F39=1,E39='Calculator'!$B$4)</x:f>
        <x:v>0</x:v>
      </x:c>
      <x:c r="K39" t="n">
        <x:f>--AND(J39=1,G39=1)</x:f>
        <x:v>0</x:v>
      </x:c>
      <x:c r="L39" t="str">
        <x:f>A39&amp;"/"&amp;B39&amp;"/"&amp;C39</x:f>
        <x:v>6/9/13</x:v>
      </x:c>
      <x:c r="M39" t="str">
        <x:f>MIN(15,A39+'Calculator'!$B$6)&amp;"/"&amp;MIN(15,B39+'Calculator'!$B$6)&amp;"/"&amp;MIN(15,C39+'Calculator'!$B$6)</x:f>
        <x:v>8/11/15</x:v>
      </x:c>
    </x:row>
    <x:row r="40">
      <x:c r="A40" t="n">
        <x:v>6</x:v>
      </x:c>
      <x:c r="B40" t="n">
        <x:v>9</x:v>
      </x:c>
      <x:c r="C40" t="n">
        <x:v>14</x:v>
      </x:c>
      <x:c r="D40" t="n">
        <x:f>MAX(10,ROUNDDOWN((('Calculator'!$B$10+A40)*SQRT('Calculator'!$B$11+B40)*SQRT('Calculator'!$B$12+C40)*0.59740001^2)/10,0))</x:f>
        <x:v>2278</x:v>
      </x:c>
      <x:c r="E40" t="n">
        <x:f>MAX(10,ROUNDDOWN((('Calculator'!$B$10+A40)*SQRT('Calculator'!$B$11+B40)*SQRT('Calculator'!$B$12+C40)*0.667934^2)/10,0))</x:f>
        <x:v>2848</x:v>
      </x:c>
      <x:c r="F40" t="n">
        <x:f>--AND(A40&gt;='Calculator'!$B$5,B40&gt;='Calculator'!$B$5,C40&gt;='Calculator'!$B$5)</x:f>
        <x:v>1</x:v>
      </x:c>
      <x:c r="G40" t="n">
        <x:f>--AND(A40+'Calculator'!$B$6&gt;=15,B40+'Calculator'!$B$6&gt;=15,C40+'Calculator'!$B$6&gt;=15)</x:f>
        <x:v>0</x:v>
      </x:c>
      <x:c r="H40" t="n">
        <x:f>--AND(F40=1,D40='Calculator'!$B$4)</x:f>
        <x:v>0</x:v>
      </x:c>
      <x:c r="I40" t="n">
        <x:f>--AND(H40=1,G40=1)</x:f>
        <x:v>0</x:v>
      </x:c>
      <x:c r="J40" t="n">
        <x:f>--AND(F40=1,E40='Calculator'!$B$4)</x:f>
        <x:v>0</x:v>
      </x:c>
      <x:c r="K40" t="n">
        <x:f>--AND(J40=1,G40=1)</x:f>
        <x:v>0</x:v>
      </x:c>
      <x:c r="L40" t="str">
        <x:f>A40&amp;"/"&amp;B40&amp;"/"&amp;C40</x:f>
        <x:v>6/9/14</x:v>
      </x:c>
      <x:c r="M40" t="str">
        <x:f>MIN(15,A40+'Calculator'!$B$6)&amp;"/"&amp;MIN(15,B40+'Calculator'!$B$6)&amp;"/"&amp;MIN(15,C40+'Calculator'!$B$6)</x:f>
        <x:v>8/11/15</x:v>
      </x:c>
    </x:row>
    <x:row r="41">
      <x:c r="A41" t="n">
        <x:v>6</x:v>
      </x:c>
      <x:c r="B41" t="n">
        <x:v>9</x:v>
      </x:c>
      <x:c r="C41" t="n">
        <x:v>15</x:v>
      </x:c>
      <x:c r="D41" t="n">
        <x:f>MAX(10,ROUNDDOWN((('Calculator'!$B$10+A41)*SQRT('Calculator'!$B$11+B41)*SQRT('Calculator'!$B$12+C41)*0.59740001^2)/10,0))</x:f>
        <x:v>2283</x:v>
      </x:c>
      <x:c r="E41" t="n">
        <x:f>MAX(10,ROUNDDOWN((('Calculator'!$B$10+A41)*SQRT('Calculator'!$B$11+B41)*SQRT('Calculator'!$B$12+C41)*0.667934^2)/10,0))</x:f>
        <x:v>2855</x:v>
      </x:c>
      <x:c r="F41" t="n">
        <x:f>--AND(A41&gt;='Calculator'!$B$5,B41&gt;='Calculator'!$B$5,C41&gt;='Calculator'!$B$5)</x:f>
        <x:v>1</x:v>
      </x:c>
      <x:c r="G41" t="n">
        <x:f>--AND(A41+'Calculator'!$B$6&gt;=15,B41+'Calculator'!$B$6&gt;=15,C41+'Calculator'!$B$6&gt;=15)</x:f>
        <x:v>0</x:v>
      </x:c>
      <x:c r="H41" t="n">
        <x:f>--AND(F41=1,D41='Calculator'!$B$4)</x:f>
        <x:v>0</x:v>
      </x:c>
      <x:c r="I41" t="n">
        <x:f>--AND(H41=1,G41=1)</x:f>
        <x:v>0</x:v>
      </x:c>
      <x:c r="J41" t="n">
        <x:f>--AND(F41=1,E41='Calculator'!$B$4)</x:f>
        <x:v>0</x:v>
      </x:c>
      <x:c r="K41" t="n">
        <x:f>--AND(J41=1,G41=1)</x:f>
        <x:v>0</x:v>
      </x:c>
      <x:c r="L41" t="str">
        <x:f>A41&amp;"/"&amp;B41&amp;"/"&amp;C41</x:f>
        <x:v>6/9/15</x:v>
      </x:c>
      <x:c r="M41" t="str">
        <x:f>MIN(15,A41+'Calculator'!$B$6)&amp;"/"&amp;MIN(15,B41+'Calculator'!$B$6)&amp;"/"&amp;MIN(15,C41+'Calculator'!$B$6)</x:f>
        <x:v>8/11/15</x:v>
      </x:c>
    </x:row>
    <x:row r="42">
      <x:c r="A42" t="n">
        <x:v>6</x:v>
      </x:c>
      <x:c r="B42" t="n">
        <x:v>10</x:v>
      </x:c>
      <x:c r="C42" t="n">
        <x:v>6</x:v>
      </x:c>
      <x:c r="D42" t="n">
        <x:f>MAX(10,ROUNDDOWN((('Calculator'!$B$10+A42)*SQRT('Calculator'!$B$11+B42)*SQRT('Calculator'!$B$12+C42)*0.59740001^2)/10,0))</x:f>
        <x:v>2244</x:v>
      </x:c>
      <x:c r="E42" t="n">
        <x:f>MAX(10,ROUNDDOWN((('Calculator'!$B$10+A42)*SQRT('Calculator'!$B$11+B42)*SQRT('Calculator'!$B$12+C42)*0.667934^2)/10,0))</x:f>
        <x:v>2805</x:v>
      </x:c>
      <x:c r="F42" t="n">
        <x:f>--AND(A42&gt;='Calculator'!$B$5,B42&gt;='Calculator'!$B$5,C42&gt;='Calculator'!$B$5)</x:f>
        <x:v>1</x:v>
      </x:c>
      <x:c r="G42" t="n">
        <x:f>--AND(A42+'Calculator'!$B$6&gt;=15,B42+'Calculator'!$B$6&gt;=15,C42+'Calculator'!$B$6&gt;=15)</x:f>
        <x:v>0</x:v>
      </x:c>
      <x:c r="H42" t="n">
        <x:f>--AND(F42=1,D42='Calculator'!$B$4)</x:f>
        <x:v>0</x:v>
      </x:c>
      <x:c r="I42" t="n">
        <x:f>--AND(H42=1,G42=1)</x:f>
        <x:v>0</x:v>
      </x:c>
      <x:c r="J42" t="n">
        <x:f>--AND(F42=1,E42='Calculator'!$B$4)</x:f>
        <x:v>0</x:v>
      </x:c>
      <x:c r="K42" t="n">
        <x:f>--AND(J42=1,G42=1)</x:f>
        <x:v>0</x:v>
      </x:c>
      <x:c r="L42" t="str">
        <x:f>A42&amp;"/"&amp;B42&amp;"/"&amp;C42</x:f>
        <x:v>6/10/6</x:v>
      </x:c>
      <x:c r="M42" t="str">
        <x:f>MIN(15,A42+'Calculator'!$B$6)&amp;"/"&amp;MIN(15,B42+'Calculator'!$B$6)&amp;"/"&amp;MIN(15,C42+'Calculator'!$B$6)</x:f>
        <x:v>8/12/8</x:v>
      </x:c>
    </x:row>
    <x:row r="43">
      <x:c r="A43" t="n">
        <x:v>6</x:v>
      </x:c>
      <x:c r="B43" t="n">
        <x:v>10</x:v>
      </x:c>
      <x:c r="C43" t="n">
        <x:v>7</x:v>
      </x:c>
      <x:c r="D43" t="n">
        <x:f>MAX(10,ROUNDDOWN((('Calculator'!$B$10+A43)*SQRT('Calculator'!$B$11+B43)*SQRT('Calculator'!$B$12+C43)*0.59740001^2)/10,0))</x:f>
        <x:v>2249</x:v>
      </x:c>
      <x:c r="E43" t="n">
        <x:f>MAX(10,ROUNDDOWN((('Calculator'!$B$10+A43)*SQRT('Calculator'!$B$11+B43)*SQRT('Calculator'!$B$12+C43)*0.667934^2)/10,0))</x:f>
        <x:v>2812</x:v>
      </x:c>
      <x:c r="F43" t="n">
        <x:f>--AND(A43&gt;='Calculator'!$B$5,B43&gt;='Calculator'!$B$5,C43&gt;='Calculator'!$B$5)</x:f>
        <x:v>1</x:v>
      </x:c>
      <x:c r="G43" t="n">
        <x:f>--AND(A43+'Calculator'!$B$6&gt;=15,B43+'Calculator'!$B$6&gt;=15,C43+'Calculator'!$B$6&gt;=15)</x:f>
        <x:v>0</x:v>
      </x:c>
      <x:c r="H43" t="n">
        <x:f>--AND(F43=1,D43='Calculator'!$B$4)</x:f>
        <x:v>0</x:v>
      </x:c>
      <x:c r="I43" t="n">
        <x:f>--AND(H43=1,G43=1)</x:f>
        <x:v>0</x:v>
      </x:c>
      <x:c r="J43" t="n">
        <x:f>--AND(F43=1,E43='Calculator'!$B$4)</x:f>
        <x:v>0</x:v>
      </x:c>
      <x:c r="K43" t="n">
        <x:f>--AND(J43=1,G43=1)</x:f>
        <x:v>0</x:v>
      </x:c>
      <x:c r="L43" t="str">
        <x:f>A43&amp;"/"&amp;B43&amp;"/"&amp;C43</x:f>
        <x:v>6/10/7</x:v>
      </x:c>
      <x:c r="M43" t="str">
        <x:f>MIN(15,A43+'Calculator'!$B$6)&amp;"/"&amp;MIN(15,B43+'Calculator'!$B$6)&amp;"/"&amp;MIN(15,C43+'Calculator'!$B$6)</x:f>
        <x:v>8/12/9</x:v>
      </x:c>
    </x:row>
    <x:row r="44">
      <x:c r="A44" t="n">
        <x:v>6</x:v>
      </x:c>
      <x:c r="B44" t="n">
        <x:v>10</x:v>
      </x:c>
      <x:c r="C44" t="n">
        <x:v>8</x:v>
      </x:c>
      <x:c r="D44" t="n">
        <x:f>MAX(10,ROUNDDOWN((('Calculator'!$B$10+A44)*SQRT('Calculator'!$B$11+B44)*SQRT('Calculator'!$B$12+C44)*0.59740001^2)/10,0))</x:f>
        <x:v>2254</x:v>
      </x:c>
      <x:c r="E44" t="n">
        <x:f>MAX(10,ROUNDDOWN((('Calculator'!$B$10+A44)*SQRT('Calculator'!$B$11+B44)*SQRT('Calculator'!$B$12+C44)*0.667934^2)/10,0))</x:f>
        <x:v>2818</x:v>
      </x:c>
      <x:c r="F44" t="n">
        <x:f>--AND(A44&gt;='Calculator'!$B$5,B44&gt;='Calculator'!$B$5,C44&gt;='Calculator'!$B$5)</x:f>
        <x:v>1</x:v>
      </x:c>
      <x:c r="G44" t="n">
        <x:f>--AND(A44+'Calculator'!$B$6&gt;=15,B44+'Calculator'!$B$6&gt;=15,C44+'Calculator'!$B$6&gt;=15)</x:f>
        <x:v>0</x:v>
      </x:c>
      <x:c r="H44" t="n">
        <x:f>--AND(F44=1,D44='Calculator'!$B$4)</x:f>
        <x:v>0</x:v>
      </x:c>
      <x:c r="I44" t="n">
        <x:f>--AND(H44=1,G44=1)</x:f>
        <x:v>0</x:v>
      </x:c>
      <x:c r="J44" t="n">
        <x:f>--AND(F44=1,E44='Calculator'!$B$4)</x:f>
        <x:v>0</x:v>
      </x:c>
      <x:c r="K44" t="n">
        <x:f>--AND(J44=1,G44=1)</x:f>
        <x:v>0</x:v>
      </x:c>
      <x:c r="L44" t="str">
        <x:f>A44&amp;"/"&amp;B44&amp;"/"&amp;C44</x:f>
        <x:v>6/10/8</x:v>
      </x:c>
      <x:c r="M44" t="str">
        <x:f>MIN(15,A44+'Calculator'!$B$6)&amp;"/"&amp;MIN(15,B44+'Calculator'!$B$6)&amp;"/"&amp;MIN(15,C44+'Calculator'!$B$6)</x:f>
        <x:v>8/12/10</x:v>
      </x:c>
    </x:row>
    <x:row r="45">
      <x:c r="A45" t="n">
        <x:v>6</x:v>
      </x:c>
      <x:c r="B45" t="n">
        <x:v>10</x:v>
      </x:c>
      <x:c r="C45" t="n">
        <x:v>9</x:v>
      </x:c>
      <x:c r="D45" t="n">
        <x:f>MAX(10,ROUNDDOWN((('Calculator'!$B$10+A45)*SQRT('Calculator'!$B$11+B45)*SQRT('Calculator'!$B$12+C45)*0.59740001^2)/10,0))</x:f>
        <x:v>2259</x:v>
      </x:c>
      <x:c r="E45" t="n">
        <x:f>MAX(10,ROUNDDOWN((('Calculator'!$B$10+A45)*SQRT('Calculator'!$B$11+B45)*SQRT('Calculator'!$B$12+C45)*0.667934^2)/10,0))</x:f>
        <x:v>2824</x:v>
      </x:c>
      <x:c r="F45" t="n">
        <x:f>--AND(A45&gt;='Calculator'!$B$5,B45&gt;='Calculator'!$B$5,C45&gt;='Calculator'!$B$5)</x:f>
        <x:v>1</x:v>
      </x:c>
      <x:c r="G45" t="n">
        <x:f>--AND(A45+'Calculator'!$B$6&gt;=15,B45+'Calculator'!$B$6&gt;=15,C45+'Calculator'!$B$6&gt;=15)</x:f>
        <x:v>0</x:v>
      </x:c>
      <x:c r="H45" t="n">
        <x:f>--AND(F45=1,D45='Calculator'!$B$4)</x:f>
        <x:v>0</x:v>
      </x:c>
      <x:c r="I45" t="n">
        <x:f>--AND(H45=1,G45=1)</x:f>
        <x:v>0</x:v>
      </x:c>
      <x:c r="J45" t="n">
        <x:f>--AND(F45=1,E45='Calculator'!$B$4)</x:f>
        <x:v>0</x:v>
      </x:c>
      <x:c r="K45" t="n">
        <x:f>--AND(J45=1,G45=1)</x:f>
        <x:v>0</x:v>
      </x:c>
      <x:c r="L45" t="str">
        <x:f>A45&amp;"/"&amp;B45&amp;"/"&amp;C45</x:f>
        <x:v>6/10/9</x:v>
      </x:c>
      <x:c r="M45" t="str">
        <x:f>MIN(15,A45+'Calculator'!$B$6)&amp;"/"&amp;MIN(15,B45+'Calculator'!$B$6)&amp;"/"&amp;MIN(15,C45+'Calculator'!$B$6)</x:f>
        <x:v>8/12/11</x:v>
      </x:c>
    </x:row>
    <x:row r="46">
      <x:c r="A46" t="n">
        <x:v>6</x:v>
      </x:c>
      <x:c r="B46" t="n">
        <x:v>10</x:v>
      </x:c>
      <x:c r="C46" t="n">
        <x:v>10</x:v>
      </x:c>
      <x:c r="D46" t="n">
        <x:f>MAX(10,ROUNDDOWN((('Calculator'!$B$10+A46)*SQRT('Calculator'!$B$11+B46)*SQRT('Calculator'!$B$12+C46)*0.59740001^2)/10,0))</x:f>
        <x:v>2264</x:v>
      </x:c>
      <x:c r="E46" t="n">
        <x:f>MAX(10,ROUNDDOWN((('Calculator'!$B$10+A46)*SQRT('Calculator'!$B$11+B46)*SQRT('Calculator'!$B$12+C46)*0.667934^2)/10,0))</x:f>
        <x:v>2831</x:v>
      </x:c>
      <x:c r="F46" t="n">
        <x:f>--AND(A46&gt;='Calculator'!$B$5,B46&gt;='Calculator'!$B$5,C46&gt;='Calculator'!$B$5)</x:f>
        <x:v>1</x:v>
      </x:c>
      <x:c r="G46" t="n">
        <x:f>--AND(A46+'Calculator'!$B$6&gt;=15,B46+'Calculator'!$B$6&gt;=15,C46+'Calculator'!$B$6&gt;=15)</x:f>
        <x:v>0</x:v>
      </x:c>
      <x:c r="H46" t="n">
        <x:f>--AND(F46=1,D46='Calculator'!$B$4)</x:f>
        <x:v>0</x:v>
      </x:c>
      <x:c r="I46" t="n">
        <x:f>--AND(H46=1,G46=1)</x:f>
        <x:v>0</x:v>
      </x:c>
      <x:c r="J46" t="n">
        <x:f>--AND(F46=1,E46='Calculator'!$B$4)</x:f>
        <x:v>0</x:v>
      </x:c>
      <x:c r="K46" t="n">
        <x:f>--AND(J46=1,G46=1)</x:f>
        <x:v>0</x:v>
      </x:c>
      <x:c r="L46" t="str">
        <x:f>A46&amp;"/"&amp;B46&amp;"/"&amp;C46</x:f>
        <x:v>6/10/10</x:v>
      </x:c>
      <x:c r="M46" t="str">
        <x:f>MIN(15,A46+'Calculator'!$B$6)&amp;"/"&amp;MIN(15,B46+'Calculator'!$B$6)&amp;"/"&amp;MIN(15,C46+'Calculator'!$B$6)</x:f>
        <x:v>8/12/12</x:v>
      </x:c>
    </x:row>
    <x:row r="47">
      <x:c r="A47" t="n">
        <x:v>6</x:v>
      </x:c>
      <x:c r="B47" t="n">
        <x:v>10</x:v>
      </x:c>
      <x:c r="C47" t="n">
        <x:v>11</x:v>
      </x:c>
      <x:c r="D47" t="n">
        <x:f>MAX(10,ROUNDDOWN((('Calculator'!$B$10+A47)*SQRT('Calculator'!$B$11+B47)*SQRT('Calculator'!$B$12+C47)*0.59740001^2)/10,0))</x:f>
        <x:v>2269</x:v>
      </x:c>
      <x:c r="E47" t="n">
        <x:f>MAX(10,ROUNDDOWN((('Calculator'!$B$10+A47)*SQRT('Calculator'!$B$11+B47)*SQRT('Calculator'!$B$12+C47)*0.667934^2)/10,0))</x:f>
        <x:v>2837</x:v>
      </x:c>
      <x:c r="F47" t="n">
        <x:f>--AND(A47&gt;='Calculator'!$B$5,B47&gt;='Calculator'!$B$5,C47&gt;='Calculator'!$B$5)</x:f>
        <x:v>1</x:v>
      </x:c>
      <x:c r="G47" t="n">
        <x:f>--AND(A47+'Calculator'!$B$6&gt;=15,B47+'Calculator'!$B$6&gt;=15,C47+'Calculator'!$B$6&gt;=15)</x:f>
        <x:v>0</x:v>
      </x:c>
      <x:c r="H47" t="n">
        <x:f>--AND(F47=1,D47='Calculator'!$B$4)</x:f>
        <x:v>0</x:v>
      </x:c>
      <x:c r="I47" t="n">
        <x:f>--AND(H47=1,G47=1)</x:f>
        <x:v>0</x:v>
      </x:c>
      <x:c r="J47" t="n">
        <x:f>--AND(F47=1,E47='Calculator'!$B$4)</x:f>
        <x:v>0</x:v>
      </x:c>
      <x:c r="K47" t="n">
        <x:f>--AND(J47=1,G47=1)</x:f>
        <x:v>0</x:v>
      </x:c>
      <x:c r="L47" t="str">
        <x:f>A47&amp;"/"&amp;B47&amp;"/"&amp;C47</x:f>
        <x:v>6/10/11</x:v>
      </x:c>
      <x:c r="M47" t="str">
        <x:f>MIN(15,A47+'Calculator'!$B$6)&amp;"/"&amp;MIN(15,B47+'Calculator'!$B$6)&amp;"/"&amp;MIN(15,C47+'Calculator'!$B$6)</x:f>
        <x:v>8/12/13</x:v>
      </x:c>
    </x:row>
    <x:row r="48">
      <x:c r="A48" t="n">
        <x:v>6</x:v>
      </x:c>
      <x:c r="B48" t="n">
        <x:v>10</x:v>
      </x:c>
      <x:c r="C48" t="n">
        <x:v>12</x:v>
      </x:c>
      <x:c r="D48" t="n">
        <x:f>MAX(10,ROUNDDOWN((('Calculator'!$B$10+A48)*SQRT('Calculator'!$B$11+B48)*SQRT('Calculator'!$B$12+C48)*0.59740001^2)/10,0))</x:f>
        <x:v>2274</x:v>
      </x:c>
      <x:c r="E48" t="n">
        <x:f>MAX(10,ROUNDDOWN((('Calculator'!$B$10+A48)*SQRT('Calculator'!$B$11+B48)*SQRT('Calculator'!$B$12+C48)*0.667934^2)/10,0))</x:f>
        <x:v>2843</x:v>
      </x:c>
      <x:c r="F48" t="n">
        <x:f>--AND(A48&gt;='Calculator'!$B$5,B48&gt;='Calculator'!$B$5,C48&gt;='Calculator'!$B$5)</x:f>
        <x:v>1</x:v>
      </x:c>
      <x:c r="G48" t="n">
        <x:f>--AND(A48+'Calculator'!$B$6&gt;=15,B48+'Calculator'!$B$6&gt;=15,C48+'Calculator'!$B$6&gt;=15)</x:f>
        <x:v>0</x:v>
      </x:c>
      <x:c r="H48" t="n">
        <x:f>--AND(F48=1,D48='Calculator'!$B$4)</x:f>
        <x:v>0</x:v>
      </x:c>
      <x:c r="I48" t="n">
        <x:f>--AND(H48=1,G48=1)</x:f>
        <x:v>0</x:v>
      </x:c>
      <x:c r="J48" t="n">
        <x:f>--AND(F48=1,E48='Calculator'!$B$4)</x:f>
        <x:v>0</x:v>
      </x:c>
      <x:c r="K48" t="n">
        <x:f>--AND(J48=1,G48=1)</x:f>
        <x:v>0</x:v>
      </x:c>
      <x:c r="L48" t="str">
        <x:f>A48&amp;"/"&amp;B48&amp;"/"&amp;C48</x:f>
        <x:v>6/10/12</x:v>
      </x:c>
      <x:c r="M48" t="str">
        <x:f>MIN(15,A48+'Calculator'!$B$6)&amp;"/"&amp;MIN(15,B48+'Calculator'!$B$6)&amp;"/"&amp;MIN(15,C48+'Calculator'!$B$6)</x:f>
        <x:v>8/12/14</x:v>
      </x:c>
    </x:row>
    <x:row r="49">
      <x:c r="A49" t="n">
        <x:v>6</x:v>
      </x:c>
      <x:c r="B49" t="n">
        <x:v>10</x:v>
      </x:c>
      <x:c r="C49" t="n">
        <x:v>13</x:v>
      </x:c>
      <x:c r="D49" t="n">
        <x:f>MAX(10,ROUNDDOWN((('Calculator'!$B$10+A49)*SQRT('Calculator'!$B$11+B49)*SQRT('Calculator'!$B$12+C49)*0.59740001^2)/10,0))</x:f>
        <x:v>2279</x:v>
      </x:c>
      <x:c r="E49" t="n">
        <x:f>MAX(10,ROUNDDOWN((('Calculator'!$B$10+A49)*SQRT('Calculator'!$B$11+B49)*SQRT('Calculator'!$B$12+C49)*0.667934^2)/10,0))</x:f>
        <x:v>2850</x:v>
      </x:c>
      <x:c r="F49" t="n">
        <x:f>--AND(A49&gt;='Calculator'!$B$5,B49&gt;='Calculator'!$B$5,C49&gt;='Calculator'!$B$5)</x:f>
        <x:v>1</x:v>
      </x:c>
      <x:c r="G49" t="n">
        <x:f>--AND(A49+'Calculator'!$B$6&gt;=15,B49+'Calculator'!$B$6&gt;=15,C49+'Calculator'!$B$6&gt;=15)</x:f>
        <x:v>0</x:v>
      </x:c>
      <x:c r="H49" t="n">
        <x:f>--AND(F49=1,D49='Calculator'!$B$4)</x:f>
        <x:v>0</x:v>
      </x:c>
      <x:c r="I49" t="n">
        <x:f>--AND(H49=1,G49=1)</x:f>
        <x:v>0</x:v>
      </x:c>
      <x:c r="J49" t="n">
        <x:f>--AND(F49=1,E49='Calculator'!$B$4)</x:f>
        <x:v>0</x:v>
      </x:c>
      <x:c r="K49" t="n">
        <x:f>--AND(J49=1,G49=1)</x:f>
        <x:v>0</x:v>
      </x:c>
      <x:c r="L49" t="str">
        <x:f>A49&amp;"/"&amp;B49&amp;"/"&amp;C49</x:f>
        <x:v>6/10/13</x:v>
      </x:c>
      <x:c r="M49" t="str">
        <x:f>MIN(15,A49+'Calculator'!$B$6)&amp;"/"&amp;MIN(15,B49+'Calculator'!$B$6)&amp;"/"&amp;MIN(15,C49+'Calculator'!$B$6)</x:f>
        <x:v>8/12/15</x:v>
      </x:c>
    </x:row>
    <x:row r="50">
      <x:c r="A50" t="n">
        <x:v>6</x:v>
      </x:c>
      <x:c r="B50" t="n">
        <x:v>10</x:v>
      </x:c>
      <x:c r="C50" t="n">
        <x:v>14</x:v>
      </x:c>
      <x:c r="D50" t="n">
        <x:f>MAX(10,ROUNDDOWN((('Calculator'!$B$10+A50)*SQRT('Calculator'!$B$11+B50)*SQRT('Calculator'!$B$12+C50)*0.59740001^2)/10,0))</x:f>
        <x:v>2284</x:v>
      </x:c>
      <x:c r="E50" t="n">
        <x:f>MAX(10,ROUNDDOWN((('Calculator'!$B$10+A50)*SQRT('Calculator'!$B$11+B50)*SQRT('Calculator'!$B$12+C50)*0.667934^2)/10,0))</x:f>
        <x:v>2856</x:v>
      </x:c>
      <x:c r="F50" t="n">
        <x:f>--AND(A50&gt;='Calculator'!$B$5,B50&gt;='Calculator'!$B$5,C50&gt;='Calculator'!$B$5)</x:f>
        <x:v>1</x:v>
      </x:c>
      <x:c r="G50" t="n">
        <x:f>--AND(A50+'Calculator'!$B$6&gt;=15,B50+'Calculator'!$B$6&gt;=15,C50+'Calculator'!$B$6&gt;=15)</x:f>
        <x:v>0</x:v>
      </x:c>
      <x:c r="H50" t="n">
        <x:f>--AND(F50=1,D50='Calculator'!$B$4)</x:f>
        <x:v>0</x:v>
      </x:c>
      <x:c r="I50" t="n">
        <x:f>--AND(H50=1,G50=1)</x:f>
        <x:v>0</x:v>
      </x:c>
      <x:c r="J50" t="n">
        <x:f>--AND(F50=1,E50='Calculator'!$B$4)</x:f>
        <x:v>0</x:v>
      </x:c>
      <x:c r="K50" t="n">
        <x:f>--AND(J50=1,G50=1)</x:f>
        <x:v>0</x:v>
      </x:c>
      <x:c r="L50" t="str">
        <x:f>A50&amp;"/"&amp;B50&amp;"/"&amp;C50</x:f>
        <x:v>6/10/14</x:v>
      </x:c>
      <x:c r="M50" t="str">
        <x:f>MIN(15,A50+'Calculator'!$B$6)&amp;"/"&amp;MIN(15,B50+'Calculator'!$B$6)&amp;"/"&amp;MIN(15,C50+'Calculator'!$B$6)</x:f>
        <x:v>8/12/15</x:v>
      </x:c>
    </x:row>
    <x:row r="51">
      <x:c r="A51" t="n">
        <x:v>6</x:v>
      </x:c>
      <x:c r="B51" t="n">
        <x:v>10</x:v>
      </x:c>
      <x:c r="C51" t="n">
        <x:v>15</x:v>
      </x:c>
      <x:c r="D51" t="n">
        <x:f>MAX(10,ROUNDDOWN((('Calculator'!$B$10+A51)*SQRT('Calculator'!$B$11+B51)*SQRT('Calculator'!$B$12+C51)*0.59740001^2)/10,0))</x:f>
        <x:v>2289</x:v>
      </x:c>
      <x:c r="E51" t="n">
        <x:f>MAX(10,ROUNDDOWN((('Calculator'!$B$10+A51)*SQRT('Calculator'!$B$11+B51)*SQRT('Calculator'!$B$12+C51)*0.667934^2)/10,0))</x:f>
        <x:v>2862</x:v>
      </x:c>
      <x:c r="F51" t="n">
        <x:f>--AND(A51&gt;='Calculator'!$B$5,B51&gt;='Calculator'!$B$5,C51&gt;='Calculator'!$B$5)</x:f>
        <x:v>1</x:v>
      </x:c>
      <x:c r="G51" t="n">
        <x:f>--AND(A51+'Calculator'!$B$6&gt;=15,B51+'Calculator'!$B$6&gt;=15,C51+'Calculator'!$B$6&gt;=15)</x:f>
        <x:v>0</x:v>
      </x:c>
      <x:c r="H51" t="n">
        <x:f>--AND(F51=1,D51='Calculator'!$B$4)</x:f>
        <x:v>0</x:v>
      </x:c>
      <x:c r="I51" t="n">
        <x:f>--AND(H51=1,G51=1)</x:f>
        <x:v>0</x:v>
      </x:c>
      <x:c r="J51" t="n">
        <x:f>--AND(F51=1,E51='Calculator'!$B$4)</x:f>
        <x:v>0</x:v>
      </x:c>
      <x:c r="K51" t="n">
        <x:f>--AND(J51=1,G51=1)</x:f>
        <x:v>0</x:v>
      </x:c>
      <x:c r="L51" t="str">
        <x:f>A51&amp;"/"&amp;B51&amp;"/"&amp;C51</x:f>
        <x:v>6/10/15</x:v>
      </x:c>
      <x:c r="M51" t="str">
        <x:f>MIN(15,A51+'Calculator'!$B$6)&amp;"/"&amp;MIN(15,B51+'Calculator'!$B$6)&amp;"/"&amp;MIN(15,C51+'Calculator'!$B$6)</x:f>
        <x:v>8/12/15</x:v>
      </x:c>
    </x:row>
    <x:row r="52">
      <x:c r="A52" t="n">
        <x:v>6</x:v>
      </x:c>
      <x:c r="B52" t="n">
        <x:v>11</x:v>
      </x:c>
      <x:c r="C52" t="n">
        <x:v>6</x:v>
      </x:c>
      <x:c r="D52" t="n">
        <x:f>MAX(10,ROUNDDOWN((('Calculator'!$B$10+A52)*SQRT('Calculator'!$B$11+B52)*SQRT('Calculator'!$B$12+C52)*0.59740001^2)/10,0))</x:f>
        <x:v>2250</x:v>
      </x:c>
      <x:c r="E52" t="n">
        <x:f>MAX(10,ROUNDDOWN((('Calculator'!$B$10+A52)*SQRT('Calculator'!$B$11+B52)*SQRT('Calculator'!$B$12+C52)*0.667934^2)/10,0))</x:f>
        <x:v>2813</x:v>
      </x:c>
      <x:c r="F52" t="n">
        <x:f>--AND(A52&gt;='Calculator'!$B$5,B52&gt;='Calculator'!$B$5,C52&gt;='Calculator'!$B$5)</x:f>
        <x:v>1</x:v>
      </x:c>
      <x:c r="G52" t="n">
        <x:f>--AND(A52+'Calculator'!$B$6&gt;=15,B52+'Calculator'!$B$6&gt;=15,C52+'Calculator'!$B$6&gt;=15)</x:f>
        <x:v>0</x:v>
      </x:c>
      <x:c r="H52" t="n">
        <x:f>--AND(F52=1,D52='Calculator'!$B$4)</x:f>
        <x:v>0</x:v>
      </x:c>
      <x:c r="I52" t="n">
        <x:f>--AND(H52=1,G52=1)</x:f>
        <x:v>0</x:v>
      </x:c>
      <x:c r="J52" t="n">
        <x:f>--AND(F52=1,E52='Calculator'!$B$4)</x:f>
        <x:v>0</x:v>
      </x:c>
      <x:c r="K52" t="n">
        <x:f>--AND(J52=1,G52=1)</x:f>
        <x:v>0</x:v>
      </x:c>
      <x:c r="L52" t="str">
        <x:f>A52&amp;"/"&amp;B52&amp;"/"&amp;C52</x:f>
        <x:v>6/11/6</x:v>
      </x:c>
      <x:c r="M52" t="str">
        <x:f>MIN(15,A52+'Calculator'!$B$6)&amp;"/"&amp;MIN(15,B52+'Calculator'!$B$6)&amp;"/"&amp;MIN(15,C52+'Calculator'!$B$6)</x:f>
        <x:v>8/13/8</x:v>
      </x:c>
    </x:row>
    <x:row r="53">
      <x:c r="A53" t="n">
        <x:v>6</x:v>
      </x:c>
      <x:c r="B53" t="n">
        <x:v>11</x:v>
      </x:c>
      <x:c r="C53" t="n">
        <x:v>7</x:v>
      </x:c>
      <x:c r="D53" t="n">
        <x:f>MAX(10,ROUNDDOWN((('Calculator'!$B$10+A53)*SQRT('Calculator'!$B$11+B53)*SQRT('Calculator'!$B$12+C53)*0.59740001^2)/10,0))</x:f>
        <x:v>2255</x:v>
      </x:c>
      <x:c r="E53" t="n">
        <x:f>MAX(10,ROUNDDOWN((('Calculator'!$B$10+A53)*SQRT('Calculator'!$B$11+B53)*SQRT('Calculator'!$B$12+C53)*0.667934^2)/10,0))</x:f>
        <x:v>2819</x:v>
      </x:c>
      <x:c r="F53" t="n">
        <x:f>--AND(A53&gt;='Calculator'!$B$5,B53&gt;='Calculator'!$B$5,C53&gt;='Calculator'!$B$5)</x:f>
        <x:v>1</x:v>
      </x:c>
      <x:c r="G53" t="n">
        <x:f>--AND(A53+'Calculator'!$B$6&gt;=15,B53+'Calculator'!$B$6&gt;=15,C53+'Calculator'!$B$6&gt;=15)</x:f>
        <x:v>0</x:v>
      </x:c>
      <x:c r="H53" t="n">
        <x:f>--AND(F53=1,D53='Calculator'!$B$4)</x:f>
        <x:v>0</x:v>
      </x:c>
      <x:c r="I53" t="n">
        <x:f>--AND(H53=1,G53=1)</x:f>
        <x:v>0</x:v>
      </x:c>
      <x:c r="J53" t="n">
        <x:f>--AND(F53=1,E53='Calculator'!$B$4)</x:f>
        <x:v>0</x:v>
      </x:c>
      <x:c r="K53" t="n">
        <x:f>--AND(J53=1,G53=1)</x:f>
        <x:v>0</x:v>
      </x:c>
      <x:c r="L53" t="str">
        <x:f>A53&amp;"/"&amp;B53&amp;"/"&amp;C53</x:f>
        <x:v>6/11/7</x:v>
      </x:c>
      <x:c r="M53" t="str">
        <x:f>MIN(15,A53+'Calculator'!$B$6)&amp;"/"&amp;MIN(15,B53+'Calculator'!$B$6)&amp;"/"&amp;MIN(15,C53+'Calculator'!$B$6)</x:f>
        <x:v>8/13/9</x:v>
      </x:c>
    </x:row>
    <x:row r="54">
      <x:c r="A54" t="n">
        <x:v>6</x:v>
      </x:c>
      <x:c r="B54" t="n">
        <x:v>11</x:v>
      </x:c>
      <x:c r="C54" t="n">
        <x:v>8</x:v>
      </x:c>
      <x:c r="D54" t="n">
        <x:f>MAX(10,ROUNDDOWN((('Calculator'!$B$10+A54)*SQRT('Calculator'!$B$11+B54)*SQRT('Calculator'!$B$12+C54)*0.59740001^2)/10,0))</x:f>
        <x:v>2260</x:v>
      </x:c>
      <x:c r="E54" t="n">
        <x:f>MAX(10,ROUNDDOWN((('Calculator'!$B$10+A54)*SQRT('Calculator'!$B$11+B54)*SQRT('Calculator'!$B$12+C54)*0.667934^2)/10,0))</x:f>
        <x:v>2825</x:v>
      </x:c>
      <x:c r="F54" t="n">
        <x:f>--AND(A54&gt;='Calculator'!$B$5,B54&gt;='Calculator'!$B$5,C54&gt;='Calculator'!$B$5)</x:f>
        <x:v>1</x:v>
      </x:c>
      <x:c r="G54" t="n">
        <x:f>--AND(A54+'Calculator'!$B$6&gt;=15,B54+'Calculator'!$B$6&gt;=15,C54+'Calculator'!$B$6&gt;=15)</x:f>
        <x:v>0</x:v>
      </x:c>
      <x:c r="H54" t="n">
        <x:f>--AND(F54=1,D54='Calculator'!$B$4)</x:f>
        <x:v>0</x:v>
      </x:c>
      <x:c r="I54" t="n">
        <x:f>--AND(H54=1,G54=1)</x:f>
        <x:v>0</x:v>
      </x:c>
      <x:c r="J54" t="n">
        <x:f>--AND(F54=1,E54='Calculator'!$B$4)</x:f>
        <x:v>0</x:v>
      </x:c>
      <x:c r="K54" t="n">
        <x:f>--AND(J54=1,G54=1)</x:f>
        <x:v>0</x:v>
      </x:c>
      <x:c r="L54" t="str">
        <x:f>A54&amp;"/"&amp;B54&amp;"/"&amp;C54</x:f>
        <x:v>6/11/8</x:v>
      </x:c>
      <x:c r="M54" t="str">
        <x:f>MIN(15,A54+'Calculator'!$B$6)&amp;"/"&amp;MIN(15,B54+'Calculator'!$B$6)&amp;"/"&amp;MIN(15,C54+'Calculator'!$B$6)</x:f>
        <x:v>8/13/10</x:v>
      </x:c>
    </x:row>
    <x:row r="55">
      <x:c r="A55" t="n">
        <x:v>6</x:v>
      </x:c>
      <x:c r="B55" t="n">
        <x:v>11</x:v>
      </x:c>
      <x:c r="C55" t="n">
        <x:v>9</x:v>
      </x:c>
      <x:c r="D55" t="n">
        <x:f>MAX(10,ROUNDDOWN((('Calculator'!$B$10+A55)*SQRT('Calculator'!$B$11+B55)*SQRT('Calculator'!$B$12+C55)*0.59740001^2)/10,0))</x:f>
        <x:v>2265</x:v>
      </x:c>
      <x:c r="E55" t="n">
        <x:f>MAX(10,ROUNDDOWN((('Calculator'!$B$10+A55)*SQRT('Calculator'!$B$11+B55)*SQRT('Calculator'!$B$12+C55)*0.667934^2)/10,0))</x:f>
        <x:v>2832</x:v>
      </x:c>
      <x:c r="F55" t="n">
        <x:f>--AND(A55&gt;='Calculator'!$B$5,B55&gt;='Calculator'!$B$5,C55&gt;='Calculator'!$B$5)</x:f>
        <x:v>1</x:v>
      </x:c>
      <x:c r="G55" t="n">
        <x:f>--AND(A55+'Calculator'!$B$6&gt;=15,B55+'Calculator'!$B$6&gt;=15,C55+'Calculator'!$B$6&gt;=15)</x:f>
        <x:v>0</x:v>
      </x:c>
      <x:c r="H55" t="n">
        <x:f>--AND(F55=1,D55='Calculator'!$B$4)</x:f>
        <x:v>0</x:v>
      </x:c>
      <x:c r="I55" t="n">
        <x:f>--AND(H55=1,G55=1)</x:f>
        <x:v>0</x:v>
      </x:c>
      <x:c r="J55" t="n">
        <x:f>--AND(F55=1,E55='Calculator'!$B$4)</x:f>
        <x:v>0</x:v>
      </x:c>
      <x:c r="K55" t="n">
        <x:f>--AND(J55=1,G55=1)</x:f>
        <x:v>0</x:v>
      </x:c>
      <x:c r="L55" t="str">
        <x:f>A55&amp;"/"&amp;B55&amp;"/"&amp;C55</x:f>
        <x:v>6/11/9</x:v>
      </x:c>
      <x:c r="M55" t="str">
        <x:f>MIN(15,A55+'Calculator'!$B$6)&amp;"/"&amp;MIN(15,B55+'Calculator'!$B$6)&amp;"/"&amp;MIN(15,C55+'Calculator'!$B$6)</x:f>
        <x:v>8/13/11</x:v>
      </x:c>
    </x:row>
    <x:row r="56">
      <x:c r="A56" t="n">
        <x:v>6</x:v>
      </x:c>
      <x:c r="B56" t="n">
        <x:v>11</x:v>
      </x:c>
      <x:c r="C56" t="n">
        <x:v>10</x:v>
      </x:c>
      <x:c r="D56" t="n">
        <x:f>MAX(10,ROUNDDOWN((('Calculator'!$B$10+A56)*SQRT('Calculator'!$B$11+B56)*SQRT('Calculator'!$B$12+C56)*0.59740001^2)/10,0))</x:f>
        <x:v>2270</x:v>
      </x:c>
      <x:c r="E56" t="n">
        <x:f>MAX(10,ROUNDDOWN((('Calculator'!$B$10+A56)*SQRT('Calculator'!$B$11+B56)*SQRT('Calculator'!$B$12+C56)*0.667934^2)/10,0))</x:f>
        <x:v>2838</x:v>
      </x:c>
      <x:c r="F56" t="n">
        <x:f>--AND(A56&gt;='Calculator'!$B$5,B56&gt;='Calculator'!$B$5,C56&gt;='Calculator'!$B$5)</x:f>
        <x:v>1</x:v>
      </x:c>
      <x:c r="G56" t="n">
        <x:f>--AND(A56+'Calculator'!$B$6&gt;=15,B56+'Calculator'!$B$6&gt;=15,C56+'Calculator'!$B$6&gt;=15)</x:f>
        <x:v>0</x:v>
      </x:c>
      <x:c r="H56" t="n">
        <x:f>--AND(F56=1,D56='Calculator'!$B$4)</x:f>
        <x:v>0</x:v>
      </x:c>
      <x:c r="I56" t="n">
        <x:f>--AND(H56=1,G56=1)</x:f>
        <x:v>0</x:v>
      </x:c>
      <x:c r="J56" t="n">
        <x:f>--AND(F56=1,E56='Calculator'!$B$4)</x:f>
        <x:v>0</x:v>
      </x:c>
      <x:c r="K56" t="n">
        <x:f>--AND(J56=1,G56=1)</x:f>
        <x:v>0</x:v>
      </x:c>
      <x:c r="L56" t="str">
        <x:f>A56&amp;"/"&amp;B56&amp;"/"&amp;C56</x:f>
        <x:v>6/11/10</x:v>
      </x:c>
      <x:c r="M56" t="str">
        <x:f>MIN(15,A56+'Calculator'!$B$6)&amp;"/"&amp;MIN(15,B56+'Calculator'!$B$6)&amp;"/"&amp;MIN(15,C56+'Calculator'!$B$6)</x:f>
        <x:v>8/13/12</x:v>
      </x:c>
    </x:row>
    <x:row r="57">
      <x:c r="A57" t="n">
        <x:v>6</x:v>
      </x:c>
      <x:c r="B57" t="n">
        <x:v>11</x:v>
      </x:c>
      <x:c r="C57" t="n">
        <x:v>11</x:v>
      </x:c>
      <x:c r="D57" t="n">
        <x:f>MAX(10,ROUNDDOWN((('Calculator'!$B$10+A57)*SQRT('Calculator'!$B$11+B57)*SQRT('Calculator'!$B$12+C57)*0.59740001^2)/10,0))</x:f>
        <x:v>2275</x:v>
      </x:c>
      <x:c r="E57" t="n">
        <x:f>MAX(10,ROUNDDOWN((('Calculator'!$B$10+A57)*SQRT('Calculator'!$B$11+B57)*SQRT('Calculator'!$B$12+C57)*0.667934^2)/10,0))</x:f>
        <x:v>2844</x:v>
      </x:c>
      <x:c r="F57" t="n">
        <x:f>--AND(A57&gt;='Calculator'!$B$5,B57&gt;='Calculator'!$B$5,C57&gt;='Calculator'!$B$5)</x:f>
        <x:v>1</x:v>
      </x:c>
      <x:c r="G57" t="n">
        <x:f>--AND(A57+'Calculator'!$B$6&gt;=15,B57+'Calculator'!$B$6&gt;=15,C57+'Calculator'!$B$6&gt;=15)</x:f>
        <x:v>0</x:v>
      </x:c>
      <x:c r="H57" t="n">
        <x:f>--AND(F57=1,D57='Calculator'!$B$4)</x:f>
        <x:v>0</x:v>
      </x:c>
      <x:c r="I57" t="n">
        <x:f>--AND(H57=1,G57=1)</x:f>
        <x:v>0</x:v>
      </x:c>
      <x:c r="J57" t="n">
        <x:f>--AND(F57=1,E57='Calculator'!$B$4)</x:f>
        <x:v>0</x:v>
      </x:c>
      <x:c r="K57" t="n">
        <x:f>--AND(J57=1,G57=1)</x:f>
        <x:v>0</x:v>
      </x:c>
      <x:c r="L57" t="str">
        <x:f>A57&amp;"/"&amp;B57&amp;"/"&amp;C57</x:f>
        <x:v>6/11/11</x:v>
      </x:c>
      <x:c r="M57" t="str">
        <x:f>MIN(15,A57+'Calculator'!$B$6)&amp;"/"&amp;MIN(15,B57+'Calculator'!$B$6)&amp;"/"&amp;MIN(15,C57+'Calculator'!$B$6)</x:f>
        <x:v>8/13/13</x:v>
      </x:c>
    </x:row>
    <x:row r="58">
      <x:c r="A58" t="n">
        <x:v>6</x:v>
      </x:c>
      <x:c r="B58" t="n">
        <x:v>11</x:v>
      </x:c>
      <x:c r="C58" t="n">
        <x:v>12</x:v>
      </x:c>
      <x:c r="D58" t="n">
        <x:f>MAX(10,ROUNDDOWN((('Calculator'!$B$10+A58)*SQRT('Calculator'!$B$11+B58)*SQRT('Calculator'!$B$12+C58)*0.59740001^2)/10,0))</x:f>
        <x:v>2280</x:v>
      </x:c>
      <x:c r="E58" t="n">
        <x:f>MAX(10,ROUNDDOWN((('Calculator'!$B$10+A58)*SQRT('Calculator'!$B$11+B58)*SQRT('Calculator'!$B$12+C58)*0.667934^2)/10,0))</x:f>
        <x:v>2851</x:v>
      </x:c>
      <x:c r="F58" t="n">
        <x:f>--AND(A58&gt;='Calculator'!$B$5,B58&gt;='Calculator'!$B$5,C58&gt;='Calculator'!$B$5)</x:f>
        <x:v>1</x:v>
      </x:c>
      <x:c r="G58" t="n">
        <x:f>--AND(A58+'Calculator'!$B$6&gt;=15,B58+'Calculator'!$B$6&gt;=15,C58+'Calculator'!$B$6&gt;=15)</x:f>
        <x:v>0</x:v>
      </x:c>
      <x:c r="H58" t="n">
        <x:f>--AND(F58=1,D58='Calculator'!$B$4)</x:f>
        <x:v>0</x:v>
      </x:c>
      <x:c r="I58" t="n">
        <x:f>--AND(H58=1,G58=1)</x:f>
        <x:v>0</x:v>
      </x:c>
      <x:c r="J58" t="n">
        <x:f>--AND(F58=1,E58='Calculator'!$B$4)</x:f>
        <x:v>0</x:v>
      </x:c>
      <x:c r="K58" t="n">
        <x:f>--AND(J58=1,G58=1)</x:f>
        <x:v>0</x:v>
      </x:c>
      <x:c r="L58" t="str">
        <x:f>A58&amp;"/"&amp;B58&amp;"/"&amp;C58</x:f>
        <x:v>6/11/12</x:v>
      </x:c>
      <x:c r="M58" t="str">
        <x:f>MIN(15,A58+'Calculator'!$B$6)&amp;"/"&amp;MIN(15,B58+'Calculator'!$B$6)&amp;"/"&amp;MIN(15,C58+'Calculator'!$B$6)</x:f>
        <x:v>8/13/14</x:v>
      </x:c>
    </x:row>
    <x:row r="59">
      <x:c r="A59" t="n">
        <x:v>6</x:v>
      </x:c>
      <x:c r="B59" t="n">
        <x:v>11</x:v>
      </x:c>
      <x:c r="C59" t="n">
        <x:v>13</x:v>
      </x:c>
      <x:c r="D59" t="n">
        <x:f>MAX(10,ROUNDDOWN((('Calculator'!$B$10+A59)*SQRT('Calculator'!$B$11+B59)*SQRT('Calculator'!$B$12+C59)*0.59740001^2)/10,0))</x:f>
        <x:v>2285</x:v>
      </x:c>
      <x:c r="E59" t="n">
        <x:f>MAX(10,ROUNDDOWN((('Calculator'!$B$10+A59)*SQRT('Calculator'!$B$11+B59)*SQRT('Calculator'!$B$12+C59)*0.667934^2)/10,0))</x:f>
        <x:v>2857</x:v>
      </x:c>
      <x:c r="F59" t="n">
        <x:f>--AND(A59&gt;='Calculator'!$B$5,B59&gt;='Calculator'!$B$5,C59&gt;='Calculator'!$B$5)</x:f>
        <x:v>1</x:v>
      </x:c>
      <x:c r="G59" t="n">
        <x:f>--AND(A59+'Calculator'!$B$6&gt;=15,B59+'Calculator'!$B$6&gt;=15,C59+'Calculator'!$B$6&gt;=15)</x:f>
        <x:v>0</x:v>
      </x:c>
      <x:c r="H59" t="n">
        <x:f>--AND(F59=1,D59='Calculator'!$B$4)</x:f>
        <x:v>0</x:v>
      </x:c>
      <x:c r="I59" t="n">
        <x:f>--AND(H59=1,G59=1)</x:f>
        <x:v>0</x:v>
      </x:c>
      <x:c r="J59" t="n">
        <x:f>--AND(F59=1,E59='Calculator'!$B$4)</x:f>
        <x:v>0</x:v>
      </x:c>
      <x:c r="K59" t="n">
        <x:f>--AND(J59=1,G59=1)</x:f>
        <x:v>0</x:v>
      </x:c>
      <x:c r="L59" t="str">
        <x:f>A59&amp;"/"&amp;B59&amp;"/"&amp;C59</x:f>
        <x:v>6/11/13</x:v>
      </x:c>
      <x:c r="M59" t="str">
        <x:f>MIN(15,A59+'Calculator'!$B$6)&amp;"/"&amp;MIN(15,B59+'Calculator'!$B$6)&amp;"/"&amp;MIN(15,C59+'Calculator'!$B$6)</x:f>
        <x:v>8/13/15</x:v>
      </x:c>
    </x:row>
    <x:row r="60">
      <x:c r="A60" t="n">
        <x:v>6</x:v>
      </x:c>
      <x:c r="B60" t="n">
        <x:v>11</x:v>
      </x:c>
      <x:c r="C60" t="n">
        <x:v>14</x:v>
      </x:c>
      <x:c r="D60" t="n">
        <x:f>MAX(10,ROUNDDOWN((('Calculator'!$B$10+A60)*SQRT('Calculator'!$B$11+B60)*SQRT('Calculator'!$B$12+C60)*0.59740001^2)/10,0))</x:f>
        <x:v>2290</x:v>
      </x:c>
      <x:c r="E60" t="n">
        <x:f>MAX(10,ROUNDDOWN((('Calculator'!$B$10+A60)*SQRT('Calculator'!$B$11+B60)*SQRT('Calculator'!$B$12+C60)*0.667934^2)/10,0))</x:f>
        <x:v>2863</x:v>
      </x:c>
      <x:c r="F60" t="n">
        <x:f>--AND(A60&gt;='Calculator'!$B$5,B60&gt;='Calculator'!$B$5,C60&gt;='Calculator'!$B$5)</x:f>
        <x:v>1</x:v>
      </x:c>
      <x:c r="G60" t="n">
        <x:f>--AND(A60+'Calculator'!$B$6&gt;=15,B60+'Calculator'!$B$6&gt;=15,C60+'Calculator'!$B$6&gt;=15)</x:f>
        <x:v>0</x:v>
      </x:c>
      <x:c r="H60" t="n">
        <x:f>--AND(F60=1,D60='Calculator'!$B$4)</x:f>
        <x:v>0</x:v>
      </x:c>
      <x:c r="I60" t="n">
        <x:f>--AND(H60=1,G60=1)</x:f>
        <x:v>0</x:v>
      </x:c>
      <x:c r="J60" t="n">
        <x:f>--AND(F60=1,E60='Calculator'!$B$4)</x:f>
        <x:v>0</x:v>
      </x:c>
      <x:c r="K60" t="n">
        <x:f>--AND(J60=1,G60=1)</x:f>
        <x:v>0</x:v>
      </x:c>
      <x:c r="L60" t="str">
        <x:f>A60&amp;"/"&amp;B60&amp;"/"&amp;C60</x:f>
        <x:v>6/11/14</x:v>
      </x:c>
      <x:c r="M60" t="str">
        <x:f>MIN(15,A60+'Calculator'!$B$6)&amp;"/"&amp;MIN(15,B60+'Calculator'!$B$6)&amp;"/"&amp;MIN(15,C60+'Calculator'!$B$6)</x:f>
        <x:v>8/13/15</x:v>
      </x:c>
    </x:row>
    <x:row r="61">
      <x:c r="A61" t="n">
        <x:v>6</x:v>
      </x:c>
      <x:c r="B61" t="n">
        <x:v>11</x:v>
      </x:c>
      <x:c r="C61" t="n">
        <x:v>15</x:v>
      </x:c>
      <x:c r="D61" t="n">
        <x:f>MAX(10,ROUNDDOWN((('Calculator'!$B$10+A61)*SQRT('Calculator'!$B$11+B61)*SQRT('Calculator'!$B$12+C61)*0.59740001^2)/10,0))</x:f>
        <x:v>2295</x:v>
      </x:c>
      <x:c r="E61" t="n">
        <x:f>MAX(10,ROUNDDOWN((('Calculator'!$B$10+A61)*SQRT('Calculator'!$B$11+B61)*SQRT('Calculator'!$B$12+C61)*0.667934^2)/10,0))</x:f>
        <x:v>2870</x:v>
      </x:c>
      <x:c r="F61" t="n">
        <x:f>--AND(A61&gt;='Calculator'!$B$5,B61&gt;='Calculator'!$B$5,C61&gt;='Calculator'!$B$5)</x:f>
        <x:v>1</x:v>
      </x:c>
      <x:c r="G61" t="n">
        <x:f>--AND(A61+'Calculator'!$B$6&gt;=15,B61+'Calculator'!$B$6&gt;=15,C61+'Calculator'!$B$6&gt;=15)</x:f>
        <x:v>0</x:v>
      </x:c>
      <x:c r="H61" t="n">
        <x:f>--AND(F61=1,D61='Calculator'!$B$4)</x:f>
        <x:v>0</x:v>
      </x:c>
      <x:c r="I61" t="n">
        <x:f>--AND(H61=1,G61=1)</x:f>
        <x:v>0</x:v>
      </x:c>
      <x:c r="J61" t="n">
        <x:f>--AND(F61=1,E61='Calculator'!$B$4)</x:f>
        <x:v>0</x:v>
      </x:c>
      <x:c r="K61" t="n">
        <x:f>--AND(J61=1,G61=1)</x:f>
        <x:v>0</x:v>
      </x:c>
      <x:c r="L61" t="str">
        <x:f>A61&amp;"/"&amp;B61&amp;"/"&amp;C61</x:f>
        <x:v>6/11/15</x:v>
      </x:c>
      <x:c r="M61" t="str">
        <x:f>MIN(15,A61+'Calculator'!$B$6)&amp;"/"&amp;MIN(15,B61+'Calculator'!$B$6)&amp;"/"&amp;MIN(15,C61+'Calculator'!$B$6)</x:f>
        <x:v>8/13/15</x:v>
      </x:c>
    </x:row>
    <x:row r="62">
      <x:c r="A62" t="n">
        <x:v>6</x:v>
      </x:c>
      <x:c r="B62" t="n">
        <x:v>12</x:v>
      </x:c>
      <x:c r="C62" t="n">
        <x:v>6</x:v>
      </x:c>
      <x:c r="D62" t="n">
        <x:f>MAX(10,ROUNDDOWN((('Calculator'!$B$10+A62)*SQRT('Calculator'!$B$11+B62)*SQRT('Calculator'!$B$12+C62)*0.59740001^2)/10,0))</x:f>
        <x:v>2256</x:v>
      </x:c>
      <x:c r="E62" t="n">
        <x:f>MAX(10,ROUNDDOWN((('Calculator'!$B$10+A62)*SQRT('Calculator'!$B$11+B62)*SQRT('Calculator'!$B$12+C62)*0.667934^2)/10,0))</x:f>
        <x:v>2820</x:v>
      </x:c>
      <x:c r="F62" t="n">
        <x:f>--AND(A62&gt;='Calculator'!$B$5,B62&gt;='Calculator'!$B$5,C62&gt;='Calculator'!$B$5)</x:f>
        <x:v>1</x:v>
      </x:c>
      <x:c r="G62" t="n">
        <x:f>--AND(A62+'Calculator'!$B$6&gt;=15,B62+'Calculator'!$B$6&gt;=15,C62+'Calculator'!$B$6&gt;=15)</x:f>
        <x:v>0</x:v>
      </x:c>
      <x:c r="H62" t="n">
        <x:f>--AND(F62=1,D62='Calculator'!$B$4)</x:f>
        <x:v>0</x:v>
      </x:c>
      <x:c r="I62" t="n">
        <x:f>--AND(H62=1,G62=1)</x:f>
        <x:v>0</x:v>
      </x:c>
      <x:c r="J62" t="n">
        <x:f>--AND(F62=1,E62='Calculator'!$B$4)</x:f>
        <x:v>0</x:v>
      </x:c>
      <x:c r="K62" t="n">
        <x:f>--AND(J62=1,G62=1)</x:f>
        <x:v>0</x:v>
      </x:c>
      <x:c r="L62" t="str">
        <x:f>A62&amp;"/"&amp;B62&amp;"/"&amp;C62</x:f>
        <x:v>6/12/6</x:v>
      </x:c>
      <x:c r="M62" t="str">
        <x:f>MIN(15,A62+'Calculator'!$B$6)&amp;"/"&amp;MIN(15,B62+'Calculator'!$B$6)&amp;"/"&amp;MIN(15,C62+'Calculator'!$B$6)</x:f>
        <x:v>8/14/8</x:v>
      </x:c>
    </x:row>
    <x:row r="63">
      <x:c r="A63" t="n">
        <x:v>6</x:v>
      </x:c>
      <x:c r="B63" t="n">
        <x:v>12</x:v>
      </x:c>
      <x:c r="C63" t="n">
        <x:v>7</x:v>
      </x:c>
      <x:c r="D63" t="n">
        <x:f>MAX(10,ROUNDDOWN((('Calculator'!$B$10+A63)*SQRT('Calculator'!$B$11+B63)*SQRT('Calculator'!$B$12+C63)*0.59740001^2)/10,0))</x:f>
        <x:v>2261</x:v>
      </x:c>
      <x:c r="E63" t="n">
        <x:f>MAX(10,ROUNDDOWN((('Calculator'!$B$10+A63)*SQRT('Calculator'!$B$11+B63)*SQRT('Calculator'!$B$12+C63)*0.667934^2)/10,0))</x:f>
        <x:v>2826</x:v>
      </x:c>
      <x:c r="F63" t="n">
        <x:f>--AND(A63&gt;='Calculator'!$B$5,B63&gt;='Calculator'!$B$5,C63&gt;='Calculator'!$B$5)</x:f>
        <x:v>1</x:v>
      </x:c>
      <x:c r="G63" t="n">
        <x:f>--AND(A63+'Calculator'!$B$6&gt;=15,B63+'Calculator'!$B$6&gt;=15,C63+'Calculator'!$B$6&gt;=15)</x:f>
        <x:v>0</x:v>
      </x:c>
      <x:c r="H63" t="n">
        <x:f>--AND(F63=1,D63='Calculator'!$B$4)</x:f>
        <x:v>0</x:v>
      </x:c>
      <x:c r="I63" t="n">
        <x:f>--AND(H63=1,G63=1)</x:f>
        <x:v>0</x:v>
      </x:c>
      <x:c r="J63" t="n">
        <x:f>--AND(F63=1,E63='Calculator'!$B$4)</x:f>
        <x:v>0</x:v>
      </x:c>
      <x:c r="K63" t="n">
        <x:f>--AND(J63=1,G63=1)</x:f>
        <x:v>0</x:v>
      </x:c>
      <x:c r="L63" t="str">
        <x:f>A63&amp;"/"&amp;B63&amp;"/"&amp;C63</x:f>
        <x:v>6/12/7</x:v>
      </x:c>
      <x:c r="M63" t="str">
        <x:f>MIN(15,A63+'Calculator'!$B$6)&amp;"/"&amp;MIN(15,B63+'Calculator'!$B$6)&amp;"/"&amp;MIN(15,C63+'Calculator'!$B$6)</x:f>
        <x:v>8/14/9</x:v>
      </x:c>
    </x:row>
    <x:row r="64">
      <x:c r="A64" t="n">
        <x:v>6</x:v>
      </x:c>
      <x:c r="B64" t="n">
        <x:v>12</x:v>
      </x:c>
      <x:c r="C64" t="n">
        <x:v>8</x:v>
      </x:c>
      <x:c r="D64" t="n">
        <x:f>MAX(10,ROUNDDOWN((('Calculator'!$B$10+A64)*SQRT('Calculator'!$B$11+B64)*SQRT('Calculator'!$B$12+C64)*0.59740001^2)/10,0))</x:f>
        <x:v>2266</x:v>
      </x:c>
      <x:c r="E64" t="n">
        <x:f>MAX(10,ROUNDDOWN((('Calculator'!$B$10+A64)*SQRT('Calculator'!$B$11+B64)*SQRT('Calculator'!$B$12+C64)*0.667934^2)/10,0))</x:f>
        <x:v>2833</x:v>
      </x:c>
      <x:c r="F64" t="n">
        <x:f>--AND(A64&gt;='Calculator'!$B$5,B64&gt;='Calculator'!$B$5,C64&gt;='Calculator'!$B$5)</x:f>
        <x:v>1</x:v>
      </x:c>
      <x:c r="G64" t="n">
        <x:f>--AND(A64+'Calculator'!$B$6&gt;=15,B64+'Calculator'!$B$6&gt;=15,C64+'Calculator'!$B$6&gt;=15)</x:f>
        <x:v>0</x:v>
      </x:c>
      <x:c r="H64" t="n">
        <x:f>--AND(F64=1,D64='Calculator'!$B$4)</x:f>
        <x:v>0</x:v>
      </x:c>
      <x:c r="I64" t="n">
        <x:f>--AND(H64=1,G64=1)</x:f>
        <x:v>0</x:v>
      </x:c>
      <x:c r="J64" t="n">
        <x:f>--AND(F64=1,E64='Calculator'!$B$4)</x:f>
        <x:v>0</x:v>
      </x:c>
      <x:c r="K64" t="n">
        <x:f>--AND(J64=1,G64=1)</x:f>
        <x:v>0</x:v>
      </x:c>
      <x:c r="L64" t="str">
        <x:f>A64&amp;"/"&amp;B64&amp;"/"&amp;C64</x:f>
        <x:v>6/12/8</x:v>
      </x:c>
      <x:c r="M64" t="str">
        <x:f>MIN(15,A64+'Calculator'!$B$6)&amp;"/"&amp;MIN(15,B64+'Calculator'!$B$6)&amp;"/"&amp;MIN(15,C64+'Calculator'!$B$6)</x:f>
        <x:v>8/14/10</x:v>
      </x:c>
    </x:row>
    <x:row r="65">
      <x:c r="A65" t="n">
        <x:v>6</x:v>
      </x:c>
      <x:c r="B65" t="n">
        <x:v>12</x:v>
      </x:c>
      <x:c r="C65" t="n">
        <x:v>9</x:v>
      </x:c>
      <x:c r="D65" t="n">
        <x:f>MAX(10,ROUNDDOWN((('Calculator'!$B$10+A65)*SQRT('Calculator'!$B$11+B65)*SQRT('Calculator'!$B$12+C65)*0.59740001^2)/10,0))</x:f>
        <x:v>2271</x:v>
      </x:c>
      <x:c r="E65" t="n">
        <x:f>MAX(10,ROUNDDOWN((('Calculator'!$B$10+A65)*SQRT('Calculator'!$B$11+B65)*SQRT('Calculator'!$B$12+C65)*0.667934^2)/10,0))</x:f>
        <x:v>2839</x:v>
      </x:c>
      <x:c r="F65" t="n">
        <x:f>--AND(A65&gt;='Calculator'!$B$5,B65&gt;='Calculator'!$B$5,C65&gt;='Calculator'!$B$5)</x:f>
        <x:v>1</x:v>
      </x:c>
      <x:c r="G65" t="n">
        <x:f>--AND(A65+'Calculator'!$B$6&gt;=15,B65+'Calculator'!$B$6&gt;=15,C65+'Calculator'!$B$6&gt;=15)</x:f>
        <x:v>0</x:v>
      </x:c>
      <x:c r="H65" t="n">
        <x:f>--AND(F65=1,D65='Calculator'!$B$4)</x:f>
        <x:v>0</x:v>
      </x:c>
      <x:c r="I65" t="n">
        <x:f>--AND(H65=1,G65=1)</x:f>
        <x:v>0</x:v>
      </x:c>
      <x:c r="J65" t="n">
        <x:f>--AND(F65=1,E65='Calculator'!$B$4)</x:f>
        <x:v>0</x:v>
      </x:c>
      <x:c r="K65" t="n">
        <x:f>--AND(J65=1,G65=1)</x:f>
        <x:v>0</x:v>
      </x:c>
      <x:c r="L65" t="str">
        <x:f>A65&amp;"/"&amp;B65&amp;"/"&amp;C65</x:f>
        <x:v>6/12/9</x:v>
      </x:c>
      <x:c r="M65" t="str">
        <x:f>MIN(15,A65+'Calculator'!$B$6)&amp;"/"&amp;MIN(15,B65+'Calculator'!$B$6)&amp;"/"&amp;MIN(15,C65+'Calculator'!$B$6)</x:f>
        <x:v>8/14/11</x:v>
      </x:c>
    </x:row>
    <x:row r="66">
      <x:c r="A66" t="n">
        <x:v>6</x:v>
      </x:c>
      <x:c r="B66" t="n">
        <x:v>12</x:v>
      </x:c>
      <x:c r="C66" t="n">
        <x:v>10</x:v>
      </x:c>
      <x:c r="D66" t="n">
        <x:f>MAX(10,ROUNDDOWN((('Calculator'!$B$10+A66)*SQRT('Calculator'!$B$11+B66)*SQRT('Calculator'!$B$12+C66)*0.59740001^2)/10,0))</x:f>
        <x:v>2276</x:v>
      </x:c>
      <x:c r="E66" t="n">
        <x:f>MAX(10,ROUNDDOWN((('Calculator'!$B$10+A66)*SQRT('Calculator'!$B$11+B66)*SQRT('Calculator'!$B$12+C66)*0.667934^2)/10,0))</x:f>
        <x:v>2845</x:v>
      </x:c>
      <x:c r="F66" t="n">
        <x:f>--AND(A66&gt;='Calculator'!$B$5,B66&gt;='Calculator'!$B$5,C66&gt;='Calculator'!$B$5)</x:f>
        <x:v>1</x:v>
      </x:c>
      <x:c r="G66" t="n">
        <x:f>--AND(A66+'Calculator'!$B$6&gt;=15,B66+'Calculator'!$B$6&gt;=15,C66+'Calculator'!$B$6&gt;=15)</x:f>
        <x:v>0</x:v>
      </x:c>
      <x:c r="H66" t="n">
        <x:f>--AND(F66=1,D66='Calculator'!$B$4)</x:f>
        <x:v>0</x:v>
      </x:c>
      <x:c r="I66" t="n">
        <x:f>--AND(H66=1,G66=1)</x:f>
        <x:v>0</x:v>
      </x:c>
      <x:c r="J66" t="n">
        <x:f>--AND(F66=1,E66='Calculator'!$B$4)</x:f>
        <x:v>0</x:v>
      </x:c>
      <x:c r="K66" t="n">
        <x:f>--AND(J66=1,G66=1)</x:f>
        <x:v>0</x:v>
      </x:c>
      <x:c r="L66" t="str">
        <x:f>A66&amp;"/"&amp;B66&amp;"/"&amp;C66</x:f>
        <x:v>6/12/10</x:v>
      </x:c>
      <x:c r="M66" t="str">
        <x:f>MIN(15,A66+'Calculator'!$B$6)&amp;"/"&amp;MIN(15,B66+'Calculator'!$B$6)&amp;"/"&amp;MIN(15,C66+'Calculator'!$B$6)</x:f>
        <x:v>8/14/12</x:v>
      </x:c>
    </x:row>
    <x:row r="67">
      <x:c r="A67" t="n">
        <x:v>6</x:v>
      </x:c>
      <x:c r="B67" t="n">
        <x:v>12</x:v>
      </x:c>
      <x:c r="C67" t="n">
        <x:v>11</x:v>
      </x:c>
      <x:c r="D67" t="n">
        <x:f>MAX(10,ROUNDDOWN((('Calculator'!$B$10+A67)*SQRT('Calculator'!$B$11+B67)*SQRT('Calculator'!$B$12+C67)*0.59740001^2)/10,0))</x:f>
        <x:v>2281</x:v>
      </x:c>
      <x:c r="E67" t="n">
        <x:f>MAX(10,ROUNDDOWN((('Calculator'!$B$10+A67)*SQRT('Calculator'!$B$11+B67)*SQRT('Calculator'!$B$12+C67)*0.667934^2)/10,0))</x:f>
        <x:v>2852</x:v>
      </x:c>
      <x:c r="F67" t="n">
        <x:f>--AND(A67&gt;='Calculator'!$B$5,B67&gt;='Calculator'!$B$5,C67&gt;='Calculator'!$B$5)</x:f>
        <x:v>1</x:v>
      </x:c>
      <x:c r="G67" t="n">
        <x:f>--AND(A67+'Calculator'!$B$6&gt;=15,B67+'Calculator'!$B$6&gt;=15,C67+'Calculator'!$B$6&gt;=15)</x:f>
        <x:v>0</x:v>
      </x:c>
      <x:c r="H67" t="n">
        <x:f>--AND(F67=1,D67='Calculator'!$B$4)</x:f>
        <x:v>0</x:v>
      </x:c>
      <x:c r="I67" t="n">
        <x:f>--AND(H67=1,G67=1)</x:f>
        <x:v>0</x:v>
      </x:c>
      <x:c r="J67" t="n">
        <x:f>--AND(F67=1,E67='Calculator'!$B$4)</x:f>
        <x:v>0</x:v>
      </x:c>
      <x:c r="K67" t="n">
        <x:f>--AND(J67=1,G67=1)</x:f>
        <x:v>0</x:v>
      </x:c>
      <x:c r="L67" t="str">
        <x:f>A67&amp;"/"&amp;B67&amp;"/"&amp;C67</x:f>
        <x:v>6/12/11</x:v>
      </x:c>
      <x:c r="M67" t="str">
        <x:f>MIN(15,A67+'Calculator'!$B$6)&amp;"/"&amp;MIN(15,B67+'Calculator'!$B$6)&amp;"/"&amp;MIN(15,C67+'Calculator'!$B$6)</x:f>
        <x:v>8/14/13</x:v>
      </x:c>
    </x:row>
    <x:row r="68">
      <x:c r="A68" t="n">
        <x:v>6</x:v>
      </x:c>
      <x:c r="B68" t="n">
        <x:v>12</x:v>
      </x:c>
      <x:c r="C68" t="n">
        <x:v>12</x:v>
      </x:c>
      <x:c r="D68" t="n">
        <x:f>MAX(10,ROUNDDOWN((('Calculator'!$B$10+A68)*SQRT('Calculator'!$B$11+B68)*SQRT('Calculator'!$B$12+C68)*0.59740001^2)/10,0))</x:f>
        <x:v>2286</x:v>
      </x:c>
      <x:c r="E68" t="n">
        <x:f>MAX(10,ROUNDDOWN((('Calculator'!$B$10+A68)*SQRT('Calculator'!$B$11+B68)*SQRT('Calculator'!$B$12+C68)*0.667934^2)/10,0))</x:f>
        <x:v>2858</x:v>
      </x:c>
      <x:c r="F68" t="n">
        <x:f>--AND(A68&gt;='Calculator'!$B$5,B68&gt;='Calculator'!$B$5,C68&gt;='Calculator'!$B$5)</x:f>
        <x:v>1</x:v>
      </x:c>
      <x:c r="G68" t="n">
        <x:f>--AND(A68+'Calculator'!$B$6&gt;=15,B68+'Calculator'!$B$6&gt;=15,C68+'Calculator'!$B$6&gt;=15)</x:f>
        <x:v>0</x:v>
      </x:c>
      <x:c r="H68" t="n">
        <x:f>--AND(F68=1,D68='Calculator'!$B$4)</x:f>
        <x:v>0</x:v>
      </x:c>
      <x:c r="I68" t="n">
        <x:f>--AND(H68=1,G68=1)</x:f>
        <x:v>0</x:v>
      </x:c>
      <x:c r="J68" t="n">
        <x:f>--AND(F68=1,E68='Calculator'!$B$4)</x:f>
        <x:v>0</x:v>
      </x:c>
      <x:c r="K68" t="n">
        <x:f>--AND(J68=1,G68=1)</x:f>
        <x:v>0</x:v>
      </x:c>
      <x:c r="L68" t="str">
        <x:f>A68&amp;"/"&amp;B68&amp;"/"&amp;C68</x:f>
        <x:v>6/12/12</x:v>
      </x:c>
      <x:c r="M68" t="str">
        <x:f>MIN(15,A68+'Calculator'!$B$6)&amp;"/"&amp;MIN(15,B68+'Calculator'!$B$6)&amp;"/"&amp;MIN(15,C68+'Calculator'!$B$6)</x:f>
        <x:v>8/14/14</x:v>
      </x:c>
    </x:row>
    <x:row r="69">
      <x:c r="A69" t="n">
        <x:v>6</x:v>
      </x:c>
      <x:c r="B69" t="n">
        <x:v>12</x:v>
      </x:c>
      <x:c r="C69" t="n">
        <x:v>13</x:v>
      </x:c>
      <x:c r="D69" t="n">
        <x:f>MAX(10,ROUNDDOWN((('Calculator'!$B$10+A69)*SQRT('Calculator'!$B$11+B69)*SQRT('Calculator'!$B$12+C69)*0.59740001^2)/10,0))</x:f>
        <x:v>2291</x:v>
      </x:c>
      <x:c r="E69" t="n">
        <x:f>MAX(10,ROUNDDOWN((('Calculator'!$B$10+A69)*SQRT('Calculator'!$B$11+B69)*SQRT('Calculator'!$B$12+C69)*0.667934^2)/10,0))</x:f>
        <x:v>2864</x:v>
      </x:c>
      <x:c r="F69" t="n">
        <x:f>--AND(A69&gt;='Calculator'!$B$5,B69&gt;='Calculator'!$B$5,C69&gt;='Calculator'!$B$5)</x:f>
        <x:v>1</x:v>
      </x:c>
      <x:c r="G69" t="n">
        <x:f>--AND(A69+'Calculator'!$B$6&gt;=15,B69+'Calculator'!$B$6&gt;=15,C69+'Calculator'!$B$6&gt;=15)</x:f>
        <x:v>0</x:v>
      </x:c>
      <x:c r="H69" t="n">
        <x:f>--AND(F69=1,D69='Calculator'!$B$4)</x:f>
        <x:v>0</x:v>
      </x:c>
      <x:c r="I69" t="n">
        <x:f>--AND(H69=1,G69=1)</x:f>
        <x:v>0</x:v>
      </x:c>
      <x:c r="J69" t="n">
        <x:f>--AND(F69=1,E69='Calculator'!$B$4)</x:f>
        <x:v>0</x:v>
      </x:c>
      <x:c r="K69" t="n">
        <x:f>--AND(J69=1,G69=1)</x:f>
        <x:v>0</x:v>
      </x:c>
      <x:c r="L69" t="str">
        <x:f>A69&amp;"/"&amp;B69&amp;"/"&amp;C69</x:f>
        <x:v>6/12/13</x:v>
      </x:c>
      <x:c r="M69" t="str">
        <x:f>MIN(15,A69+'Calculator'!$B$6)&amp;"/"&amp;MIN(15,B69+'Calculator'!$B$6)&amp;"/"&amp;MIN(15,C69+'Calculator'!$B$6)</x:f>
        <x:v>8/14/15</x:v>
      </x:c>
    </x:row>
    <x:row r="70">
      <x:c r="A70" t="n">
        <x:v>6</x:v>
      </x:c>
      <x:c r="B70" t="n">
        <x:v>12</x:v>
      </x:c>
      <x:c r="C70" t="n">
        <x:v>14</x:v>
      </x:c>
      <x:c r="D70" t="n">
        <x:f>MAX(10,ROUNDDOWN((('Calculator'!$B$10+A70)*SQRT('Calculator'!$B$11+B70)*SQRT('Calculator'!$B$12+C70)*0.59740001^2)/10,0))</x:f>
        <x:v>2296</x:v>
      </x:c>
      <x:c r="E70" t="n">
        <x:f>MAX(10,ROUNDDOWN((('Calculator'!$B$10+A70)*SQRT('Calculator'!$B$11+B70)*SQRT('Calculator'!$B$12+C70)*0.667934^2)/10,0))</x:f>
        <x:v>2871</x:v>
      </x:c>
      <x:c r="F70" t="n">
        <x:f>--AND(A70&gt;='Calculator'!$B$5,B70&gt;='Calculator'!$B$5,C70&gt;='Calculator'!$B$5)</x:f>
        <x:v>1</x:v>
      </x:c>
      <x:c r="G70" t="n">
        <x:f>--AND(A70+'Calculator'!$B$6&gt;=15,B70+'Calculator'!$B$6&gt;=15,C70+'Calculator'!$B$6&gt;=15)</x:f>
        <x:v>0</x:v>
      </x:c>
      <x:c r="H70" t="n">
        <x:f>--AND(F70=1,D70='Calculator'!$B$4)</x:f>
        <x:v>0</x:v>
      </x:c>
      <x:c r="I70" t="n">
        <x:f>--AND(H70=1,G70=1)</x:f>
        <x:v>0</x:v>
      </x:c>
      <x:c r="J70" t="n">
        <x:f>--AND(F70=1,E70='Calculator'!$B$4)</x:f>
        <x:v>0</x:v>
      </x:c>
      <x:c r="K70" t="n">
        <x:f>--AND(J70=1,G70=1)</x:f>
        <x:v>0</x:v>
      </x:c>
      <x:c r="L70" t="str">
        <x:f>A70&amp;"/"&amp;B70&amp;"/"&amp;C70</x:f>
        <x:v>6/12/14</x:v>
      </x:c>
      <x:c r="M70" t="str">
        <x:f>MIN(15,A70+'Calculator'!$B$6)&amp;"/"&amp;MIN(15,B70+'Calculator'!$B$6)&amp;"/"&amp;MIN(15,C70+'Calculator'!$B$6)</x:f>
        <x:v>8/14/15</x:v>
      </x:c>
    </x:row>
    <x:row r="71">
      <x:c r="A71" t="n">
        <x:v>6</x:v>
      </x:c>
      <x:c r="B71" t="n">
        <x:v>12</x:v>
      </x:c>
      <x:c r="C71" t="n">
        <x:v>15</x:v>
      </x:c>
      <x:c r="D71" t="n">
        <x:f>MAX(10,ROUNDDOWN((('Calculator'!$B$10+A71)*SQRT('Calculator'!$B$11+B71)*SQRT('Calculator'!$B$12+C71)*0.59740001^2)/10,0))</x:f>
        <x:v>2301</x:v>
      </x:c>
      <x:c r="E71" t="n">
        <x:f>MAX(10,ROUNDDOWN((('Calculator'!$B$10+A71)*SQRT('Calculator'!$B$11+B71)*SQRT('Calculator'!$B$12+C71)*0.667934^2)/10,0))</x:f>
        <x:v>2877</x:v>
      </x:c>
      <x:c r="F71" t="n">
        <x:f>--AND(A71&gt;='Calculator'!$B$5,B71&gt;='Calculator'!$B$5,C71&gt;='Calculator'!$B$5)</x:f>
        <x:v>1</x:v>
      </x:c>
      <x:c r="G71" t="n">
        <x:f>--AND(A71+'Calculator'!$B$6&gt;=15,B71+'Calculator'!$B$6&gt;=15,C71+'Calculator'!$B$6&gt;=15)</x:f>
        <x:v>0</x:v>
      </x:c>
      <x:c r="H71" t="n">
        <x:f>--AND(F71=1,D71='Calculator'!$B$4)</x:f>
        <x:v>0</x:v>
      </x:c>
      <x:c r="I71" t="n">
        <x:f>--AND(H71=1,G71=1)</x:f>
        <x:v>0</x:v>
      </x:c>
      <x:c r="J71" t="n">
        <x:f>--AND(F71=1,E71='Calculator'!$B$4)</x:f>
        <x:v>0</x:v>
      </x:c>
      <x:c r="K71" t="n">
        <x:f>--AND(J71=1,G71=1)</x:f>
        <x:v>0</x:v>
      </x:c>
      <x:c r="L71" t="str">
        <x:f>A71&amp;"/"&amp;B71&amp;"/"&amp;C71</x:f>
        <x:v>6/12/15</x:v>
      </x:c>
      <x:c r="M71" t="str">
        <x:f>MIN(15,A71+'Calculator'!$B$6)&amp;"/"&amp;MIN(15,B71+'Calculator'!$B$6)&amp;"/"&amp;MIN(15,C71+'Calculator'!$B$6)</x:f>
        <x:v>8/14/15</x:v>
      </x:c>
    </x:row>
    <x:row r="72">
      <x:c r="A72" t="n">
        <x:v>6</x:v>
      </x:c>
      <x:c r="B72" t="n">
        <x:v>13</x:v>
      </x:c>
      <x:c r="C72" t="n">
        <x:v>6</x:v>
      </x:c>
      <x:c r="D72" t="n">
        <x:f>MAX(10,ROUNDDOWN((('Calculator'!$B$10+A72)*SQRT('Calculator'!$B$11+B72)*SQRT('Calculator'!$B$12+C72)*0.59740001^2)/10,0))</x:f>
        <x:v>2261</x:v>
      </x:c>
      <x:c r="E72" t="n">
        <x:f>MAX(10,ROUNDDOWN((('Calculator'!$B$10+A72)*SQRT('Calculator'!$B$11+B72)*SQRT('Calculator'!$B$12+C72)*0.667934^2)/10,0))</x:f>
        <x:v>2827</x:v>
      </x:c>
      <x:c r="F72" t="n">
        <x:f>--AND(A72&gt;='Calculator'!$B$5,B72&gt;='Calculator'!$B$5,C72&gt;='Calculator'!$B$5)</x:f>
        <x:v>1</x:v>
      </x:c>
      <x:c r="G72" t="n">
        <x:f>--AND(A72+'Calculator'!$B$6&gt;=15,B72+'Calculator'!$B$6&gt;=15,C72+'Calculator'!$B$6&gt;=15)</x:f>
        <x:v>0</x:v>
      </x:c>
      <x:c r="H72" t="n">
        <x:f>--AND(F72=1,D72='Calculator'!$B$4)</x:f>
        <x:v>0</x:v>
      </x:c>
      <x:c r="I72" t="n">
        <x:f>--AND(H72=1,G72=1)</x:f>
        <x:v>0</x:v>
      </x:c>
      <x:c r="J72" t="n">
        <x:f>--AND(F72=1,E72='Calculator'!$B$4)</x:f>
        <x:v>0</x:v>
      </x:c>
      <x:c r="K72" t="n">
        <x:f>--AND(J72=1,G72=1)</x:f>
        <x:v>0</x:v>
      </x:c>
      <x:c r="L72" t="str">
        <x:f>A72&amp;"/"&amp;B72&amp;"/"&amp;C72</x:f>
        <x:v>6/13/6</x:v>
      </x:c>
      <x:c r="M72" t="str">
        <x:f>MIN(15,A72+'Calculator'!$B$6)&amp;"/"&amp;MIN(15,B72+'Calculator'!$B$6)&amp;"/"&amp;MIN(15,C72+'Calculator'!$B$6)</x:f>
        <x:v>8/15/8</x:v>
      </x:c>
    </x:row>
    <x:row r="73">
      <x:c r="A73" t="n">
        <x:v>6</x:v>
      </x:c>
      <x:c r="B73" t="n">
        <x:v>13</x:v>
      </x:c>
      <x:c r="C73" t="n">
        <x:v>7</x:v>
      </x:c>
      <x:c r="D73" t="n">
        <x:f>MAX(10,ROUNDDOWN((('Calculator'!$B$10+A73)*SQRT('Calculator'!$B$11+B73)*SQRT('Calculator'!$B$12+C73)*0.59740001^2)/10,0))</x:f>
        <x:v>2267</x:v>
      </x:c>
      <x:c r="E73" t="n">
        <x:f>MAX(10,ROUNDDOWN((('Calculator'!$B$10+A73)*SQRT('Calculator'!$B$11+B73)*SQRT('Calculator'!$B$12+C73)*0.667934^2)/10,0))</x:f>
        <x:v>2834</x:v>
      </x:c>
      <x:c r="F73" t="n">
        <x:f>--AND(A73&gt;='Calculator'!$B$5,B73&gt;='Calculator'!$B$5,C73&gt;='Calculator'!$B$5)</x:f>
        <x:v>1</x:v>
      </x:c>
      <x:c r="G73" t="n">
        <x:f>--AND(A73+'Calculator'!$B$6&gt;=15,B73+'Calculator'!$B$6&gt;=15,C73+'Calculator'!$B$6&gt;=15)</x:f>
        <x:v>0</x:v>
      </x:c>
      <x:c r="H73" t="n">
        <x:f>--AND(F73=1,D73='Calculator'!$B$4)</x:f>
        <x:v>0</x:v>
      </x:c>
      <x:c r="I73" t="n">
        <x:f>--AND(H73=1,G73=1)</x:f>
        <x:v>0</x:v>
      </x:c>
      <x:c r="J73" t="n">
        <x:f>--AND(F73=1,E73='Calculator'!$B$4)</x:f>
        <x:v>0</x:v>
      </x:c>
      <x:c r="K73" t="n">
        <x:f>--AND(J73=1,G73=1)</x:f>
        <x:v>0</x:v>
      </x:c>
      <x:c r="L73" t="str">
        <x:f>A73&amp;"/"&amp;B73&amp;"/"&amp;C73</x:f>
        <x:v>6/13/7</x:v>
      </x:c>
      <x:c r="M73" t="str">
        <x:f>MIN(15,A73+'Calculator'!$B$6)&amp;"/"&amp;MIN(15,B73+'Calculator'!$B$6)&amp;"/"&amp;MIN(15,C73+'Calculator'!$B$6)</x:f>
        <x:v>8/15/9</x:v>
      </x:c>
    </x:row>
    <x:row r="74">
      <x:c r="A74" t="n">
        <x:v>6</x:v>
      </x:c>
      <x:c r="B74" t="n">
        <x:v>13</x:v>
      </x:c>
      <x:c r="C74" t="n">
        <x:v>8</x:v>
      </x:c>
      <x:c r="D74" t="n">
        <x:f>MAX(10,ROUNDDOWN((('Calculator'!$B$10+A74)*SQRT('Calculator'!$B$11+B74)*SQRT('Calculator'!$B$12+C74)*0.59740001^2)/10,0))</x:f>
        <x:v>2272</x:v>
      </x:c>
      <x:c r="E74" t="n">
        <x:f>MAX(10,ROUNDDOWN((('Calculator'!$B$10+A74)*SQRT('Calculator'!$B$11+B74)*SQRT('Calculator'!$B$12+C74)*0.667934^2)/10,0))</x:f>
        <x:v>2840</x:v>
      </x:c>
      <x:c r="F74" t="n">
        <x:f>--AND(A74&gt;='Calculator'!$B$5,B74&gt;='Calculator'!$B$5,C74&gt;='Calculator'!$B$5)</x:f>
        <x:v>1</x:v>
      </x:c>
      <x:c r="G74" t="n">
        <x:f>--AND(A74+'Calculator'!$B$6&gt;=15,B74+'Calculator'!$B$6&gt;=15,C74+'Calculator'!$B$6&gt;=15)</x:f>
        <x:v>0</x:v>
      </x:c>
      <x:c r="H74" t="n">
        <x:f>--AND(F74=1,D74='Calculator'!$B$4)</x:f>
        <x:v>0</x:v>
      </x:c>
      <x:c r="I74" t="n">
        <x:f>--AND(H74=1,G74=1)</x:f>
        <x:v>0</x:v>
      </x:c>
      <x:c r="J74" t="n">
        <x:f>--AND(F74=1,E74='Calculator'!$B$4)</x:f>
        <x:v>0</x:v>
      </x:c>
      <x:c r="K74" t="n">
        <x:f>--AND(J74=1,G74=1)</x:f>
        <x:v>0</x:v>
      </x:c>
      <x:c r="L74" t="str">
        <x:f>A74&amp;"/"&amp;B74&amp;"/"&amp;C74</x:f>
        <x:v>6/13/8</x:v>
      </x:c>
      <x:c r="M74" t="str">
        <x:f>MIN(15,A74+'Calculator'!$B$6)&amp;"/"&amp;MIN(15,B74+'Calculator'!$B$6)&amp;"/"&amp;MIN(15,C74+'Calculator'!$B$6)</x:f>
        <x:v>8/15/10</x:v>
      </x:c>
    </x:row>
    <x:row r="75">
      <x:c r="A75" t="n">
        <x:v>6</x:v>
      </x:c>
      <x:c r="B75" t="n">
        <x:v>13</x:v>
      </x:c>
      <x:c r="C75" t="n">
        <x:v>9</x:v>
      </x:c>
      <x:c r="D75" t="n">
        <x:f>MAX(10,ROUNDDOWN((('Calculator'!$B$10+A75)*SQRT('Calculator'!$B$11+B75)*SQRT('Calculator'!$B$12+C75)*0.59740001^2)/10,0))</x:f>
        <x:v>2277</x:v>
      </x:c>
      <x:c r="E75" t="n">
        <x:f>MAX(10,ROUNDDOWN((('Calculator'!$B$10+A75)*SQRT('Calculator'!$B$11+B75)*SQRT('Calculator'!$B$12+C75)*0.667934^2)/10,0))</x:f>
        <x:v>2846</x:v>
      </x:c>
      <x:c r="F75" t="n">
        <x:f>--AND(A75&gt;='Calculator'!$B$5,B75&gt;='Calculator'!$B$5,C75&gt;='Calculator'!$B$5)</x:f>
        <x:v>1</x:v>
      </x:c>
      <x:c r="G75" t="n">
        <x:f>--AND(A75+'Calculator'!$B$6&gt;=15,B75+'Calculator'!$B$6&gt;=15,C75+'Calculator'!$B$6&gt;=15)</x:f>
        <x:v>0</x:v>
      </x:c>
      <x:c r="H75" t="n">
        <x:f>--AND(F75=1,D75='Calculator'!$B$4)</x:f>
        <x:v>0</x:v>
      </x:c>
      <x:c r="I75" t="n">
        <x:f>--AND(H75=1,G75=1)</x:f>
        <x:v>0</x:v>
      </x:c>
      <x:c r="J75" t="n">
        <x:f>--AND(F75=1,E75='Calculator'!$B$4)</x:f>
        <x:v>0</x:v>
      </x:c>
      <x:c r="K75" t="n">
        <x:f>--AND(J75=1,G75=1)</x:f>
        <x:v>0</x:v>
      </x:c>
      <x:c r="L75" t="str">
        <x:f>A75&amp;"/"&amp;B75&amp;"/"&amp;C75</x:f>
        <x:v>6/13/9</x:v>
      </x:c>
      <x:c r="M75" t="str">
        <x:f>MIN(15,A75+'Calculator'!$B$6)&amp;"/"&amp;MIN(15,B75+'Calculator'!$B$6)&amp;"/"&amp;MIN(15,C75+'Calculator'!$B$6)</x:f>
        <x:v>8/15/11</x:v>
      </x:c>
    </x:row>
    <x:row r="76">
      <x:c r="A76" t="n">
        <x:v>6</x:v>
      </x:c>
      <x:c r="B76" t="n">
        <x:v>13</x:v>
      </x:c>
      <x:c r="C76" t="n">
        <x:v>10</x:v>
      </x:c>
      <x:c r="D76" t="n">
        <x:f>MAX(10,ROUNDDOWN((('Calculator'!$B$10+A76)*SQRT('Calculator'!$B$11+B76)*SQRT('Calculator'!$B$12+C76)*0.59740001^2)/10,0))</x:f>
        <x:v>2282</x:v>
      </x:c>
      <x:c r="E76" t="n">
        <x:f>MAX(10,ROUNDDOWN((('Calculator'!$B$10+A76)*SQRT('Calculator'!$B$11+B76)*SQRT('Calculator'!$B$12+C76)*0.667934^2)/10,0))</x:f>
        <x:v>2853</x:v>
      </x:c>
      <x:c r="F76" t="n">
        <x:f>--AND(A76&gt;='Calculator'!$B$5,B76&gt;='Calculator'!$B$5,C76&gt;='Calculator'!$B$5)</x:f>
        <x:v>1</x:v>
      </x:c>
      <x:c r="G76" t="n">
        <x:f>--AND(A76+'Calculator'!$B$6&gt;=15,B76+'Calculator'!$B$6&gt;=15,C76+'Calculator'!$B$6&gt;=15)</x:f>
        <x:v>0</x:v>
      </x:c>
      <x:c r="H76" t="n">
        <x:f>--AND(F76=1,D76='Calculator'!$B$4)</x:f>
        <x:v>0</x:v>
      </x:c>
      <x:c r="I76" t="n">
        <x:f>--AND(H76=1,G76=1)</x:f>
        <x:v>0</x:v>
      </x:c>
      <x:c r="J76" t="n">
        <x:f>--AND(F76=1,E76='Calculator'!$B$4)</x:f>
        <x:v>0</x:v>
      </x:c>
      <x:c r="K76" t="n">
        <x:f>--AND(J76=1,G76=1)</x:f>
        <x:v>0</x:v>
      </x:c>
      <x:c r="L76" t="str">
        <x:f>A76&amp;"/"&amp;B76&amp;"/"&amp;C76</x:f>
        <x:v>6/13/10</x:v>
      </x:c>
      <x:c r="M76" t="str">
        <x:f>MIN(15,A76+'Calculator'!$B$6)&amp;"/"&amp;MIN(15,B76+'Calculator'!$B$6)&amp;"/"&amp;MIN(15,C76+'Calculator'!$B$6)</x:f>
        <x:v>8/15/12</x:v>
      </x:c>
    </x:row>
    <x:row r="77">
      <x:c r="A77" t="n">
        <x:v>6</x:v>
      </x:c>
      <x:c r="B77" t="n">
        <x:v>13</x:v>
      </x:c>
      <x:c r="C77" t="n">
        <x:v>11</x:v>
      </x:c>
      <x:c r="D77" t="n">
        <x:f>MAX(10,ROUNDDOWN((('Calculator'!$B$10+A77)*SQRT('Calculator'!$B$11+B77)*SQRT('Calculator'!$B$12+C77)*0.59740001^2)/10,0))</x:f>
        <x:v>2287</x:v>
      </x:c>
      <x:c r="E77" t="n">
        <x:f>MAX(10,ROUNDDOWN((('Calculator'!$B$10+A77)*SQRT('Calculator'!$B$11+B77)*SQRT('Calculator'!$B$12+C77)*0.667934^2)/10,0))</x:f>
        <x:v>2859</x:v>
      </x:c>
      <x:c r="F77" t="n">
        <x:f>--AND(A77&gt;='Calculator'!$B$5,B77&gt;='Calculator'!$B$5,C77&gt;='Calculator'!$B$5)</x:f>
        <x:v>1</x:v>
      </x:c>
      <x:c r="G77" t="n">
        <x:f>--AND(A77+'Calculator'!$B$6&gt;=15,B77+'Calculator'!$B$6&gt;=15,C77+'Calculator'!$B$6&gt;=15)</x:f>
        <x:v>0</x:v>
      </x:c>
      <x:c r="H77" t="n">
        <x:f>--AND(F77=1,D77='Calculator'!$B$4)</x:f>
        <x:v>0</x:v>
      </x:c>
      <x:c r="I77" t="n">
        <x:f>--AND(H77=1,G77=1)</x:f>
        <x:v>0</x:v>
      </x:c>
      <x:c r="J77" t="n">
        <x:f>--AND(F77=1,E77='Calculator'!$B$4)</x:f>
        <x:v>0</x:v>
      </x:c>
      <x:c r="K77" t="n">
        <x:f>--AND(J77=1,G77=1)</x:f>
        <x:v>0</x:v>
      </x:c>
      <x:c r="L77" t="str">
        <x:f>A77&amp;"/"&amp;B77&amp;"/"&amp;C77</x:f>
        <x:v>6/13/11</x:v>
      </x:c>
      <x:c r="M77" t="str">
        <x:f>MIN(15,A77+'Calculator'!$B$6)&amp;"/"&amp;MIN(15,B77+'Calculator'!$B$6)&amp;"/"&amp;MIN(15,C77+'Calculator'!$B$6)</x:f>
        <x:v>8/15/13</x:v>
      </x:c>
    </x:row>
    <x:row r="78">
      <x:c r="A78" t="n">
        <x:v>6</x:v>
      </x:c>
      <x:c r="B78" t="n">
        <x:v>13</x:v>
      </x:c>
      <x:c r="C78" t="n">
        <x:v>12</x:v>
      </x:c>
      <x:c r="D78" t="n">
        <x:f>MAX(10,ROUNDDOWN((('Calculator'!$B$10+A78)*SQRT('Calculator'!$B$11+B78)*SQRT('Calculator'!$B$12+C78)*0.59740001^2)/10,0))</x:f>
        <x:v>2292</x:v>
      </x:c>
      <x:c r="E78" t="n">
        <x:f>MAX(10,ROUNDDOWN((('Calculator'!$B$10+A78)*SQRT('Calculator'!$B$11+B78)*SQRT('Calculator'!$B$12+C78)*0.667934^2)/10,0))</x:f>
        <x:v>2865</x:v>
      </x:c>
      <x:c r="F78" t="n">
        <x:f>--AND(A78&gt;='Calculator'!$B$5,B78&gt;='Calculator'!$B$5,C78&gt;='Calculator'!$B$5)</x:f>
        <x:v>1</x:v>
      </x:c>
      <x:c r="G78" t="n">
        <x:f>--AND(A78+'Calculator'!$B$6&gt;=15,B78+'Calculator'!$B$6&gt;=15,C78+'Calculator'!$B$6&gt;=15)</x:f>
        <x:v>0</x:v>
      </x:c>
      <x:c r="H78" t="n">
        <x:f>--AND(F78=1,D78='Calculator'!$B$4)</x:f>
        <x:v>0</x:v>
      </x:c>
      <x:c r="I78" t="n">
        <x:f>--AND(H78=1,G78=1)</x:f>
        <x:v>0</x:v>
      </x:c>
      <x:c r="J78" t="n">
        <x:f>--AND(F78=1,E78='Calculator'!$B$4)</x:f>
        <x:v>0</x:v>
      </x:c>
      <x:c r="K78" t="n">
        <x:f>--AND(J78=1,G78=1)</x:f>
        <x:v>0</x:v>
      </x:c>
      <x:c r="L78" t="str">
        <x:f>A78&amp;"/"&amp;B78&amp;"/"&amp;C78</x:f>
        <x:v>6/13/12</x:v>
      </x:c>
      <x:c r="M78" t="str">
        <x:f>MIN(15,A78+'Calculator'!$B$6)&amp;"/"&amp;MIN(15,B78+'Calculator'!$B$6)&amp;"/"&amp;MIN(15,C78+'Calculator'!$B$6)</x:f>
        <x:v>8/15/14</x:v>
      </x:c>
    </x:row>
    <x:row r="79">
      <x:c r="A79" t="n">
        <x:v>6</x:v>
      </x:c>
      <x:c r="B79" t="n">
        <x:v>13</x:v>
      </x:c>
      <x:c r="C79" t="n">
        <x:v>13</x:v>
      </x:c>
      <x:c r="D79" t="n">
        <x:f>MAX(10,ROUNDDOWN((('Calculator'!$B$10+A79)*SQRT('Calculator'!$B$11+B79)*SQRT('Calculator'!$B$12+C79)*0.59740001^2)/10,0))</x:f>
        <x:v>2297</x:v>
      </x:c>
      <x:c r="E79" t="n">
        <x:f>MAX(10,ROUNDDOWN((('Calculator'!$B$10+A79)*SQRT('Calculator'!$B$11+B79)*SQRT('Calculator'!$B$12+C79)*0.667934^2)/10,0))</x:f>
        <x:v>2872</x:v>
      </x:c>
      <x:c r="F79" t="n">
        <x:f>--AND(A79&gt;='Calculator'!$B$5,B79&gt;='Calculator'!$B$5,C79&gt;='Calculator'!$B$5)</x:f>
        <x:v>1</x:v>
      </x:c>
      <x:c r="G79" t="n">
        <x:f>--AND(A79+'Calculator'!$B$6&gt;=15,B79+'Calculator'!$B$6&gt;=15,C79+'Calculator'!$B$6&gt;=15)</x:f>
        <x:v>0</x:v>
      </x:c>
      <x:c r="H79" t="n">
        <x:f>--AND(F79=1,D79='Calculator'!$B$4)</x:f>
        <x:v>0</x:v>
      </x:c>
      <x:c r="I79" t="n">
        <x:f>--AND(H79=1,G79=1)</x:f>
        <x:v>0</x:v>
      </x:c>
      <x:c r="J79" t="n">
        <x:f>--AND(F79=1,E79='Calculator'!$B$4)</x:f>
        <x:v>0</x:v>
      </x:c>
      <x:c r="K79" t="n">
        <x:f>--AND(J79=1,G79=1)</x:f>
        <x:v>0</x:v>
      </x:c>
      <x:c r="L79" t="str">
        <x:f>A79&amp;"/"&amp;B79&amp;"/"&amp;C79</x:f>
        <x:v>6/13/13</x:v>
      </x:c>
      <x:c r="M79" t="str">
        <x:f>MIN(15,A79+'Calculator'!$B$6)&amp;"/"&amp;MIN(15,B79+'Calculator'!$B$6)&amp;"/"&amp;MIN(15,C79+'Calculator'!$B$6)</x:f>
        <x:v>8/15/15</x:v>
      </x:c>
    </x:row>
    <x:row r="80">
      <x:c r="A80" t="n">
        <x:v>6</x:v>
      </x:c>
      <x:c r="B80" t="n">
        <x:v>13</x:v>
      </x:c>
      <x:c r="C80" t="n">
        <x:v>14</x:v>
      </x:c>
      <x:c r="D80" t="n">
        <x:f>MAX(10,ROUNDDOWN((('Calculator'!$B$10+A80)*SQRT('Calculator'!$B$11+B80)*SQRT('Calculator'!$B$12+C80)*0.59740001^2)/10,0))</x:f>
        <x:v>2302</x:v>
      </x:c>
      <x:c r="E80" t="n">
        <x:f>MAX(10,ROUNDDOWN((('Calculator'!$B$10+A80)*SQRT('Calculator'!$B$11+B80)*SQRT('Calculator'!$B$12+C80)*0.667934^2)/10,0))</x:f>
        <x:v>2878</x:v>
      </x:c>
      <x:c r="F80" t="n">
        <x:f>--AND(A80&gt;='Calculator'!$B$5,B80&gt;='Calculator'!$B$5,C80&gt;='Calculator'!$B$5)</x:f>
        <x:v>1</x:v>
      </x:c>
      <x:c r="G80" t="n">
        <x:f>--AND(A80+'Calculator'!$B$6&gt;=15,B80+'Calculator'!$B$6&gt;=15,C80+'Calculator'!$B$6&gt;=15)</x:f>
        <x:v>0</x:v>
      </x:c>
      <x:c r="H80" t="n">
        <x:f>--AND(F80=1,D80='Calculator'!$B$4)</x:f>
        <x:v>0</x:v>
      </x:c>
      <x:c r="I80" t="n">
        <x:f>--AND(H80=1,G80=1)</x:f>
        <x:v>0</x:v>
      </x:c>
      <x:c r="J80" t="n">
        <x:f>--AND(F80=1,E80='Calculator'!$B$4)</x:f>
        <x:v>0</x:v>
      </x:c>
      <x:c r="K80" t="n">
        <x:f>--AND(J80=1,G80=1)</x:f>
        <x:v>0</x:v>
      </x:c>
      <x:c r="L80" t="str">
        <x:f>A80&amp;"/"&amp;B80&amp;"/"&amp;C80</x:f>
        <x:v>6/13/14</x:v>
      </x:c>
      <x:c r="M80" t="str">
        <x:f>MIN(15,A80+'Calculator'!$B$6)&amp;"/"&amp;MIN(15,B80+'Calculator'!$B$6)&amp;"/"&amp;MIN(15,C80+'Calculator'!$B$6)</x:f>
        <x:v>8/15/15</x:v>
      </x:c>
    </x:row>
    <x:row r="81">
      <x:c r="A81" t="n">
        <x:v>6</x:v>
      </x:c>
      <x:c r="B81" t="n">
        <x:v>13</x:v>
      </x:c>
      <x:c r="C81" t="n">
        <x:v>15</x:v>
      </x:c>
      <x:c r="D81" t="n">
        <x:f>MAX(10,ROUNDDOWN((('Calculator'!$B$10+A81)*SQRT('Calculator'!$B$11+B81)*SQRT('Calculator'!$B$12+C81)*0.59740001^2)/10,0))</x:f>
        <x:v>2307</x:v>
      </x:c>
      <x:c r="E81" t="n">
        <x:f>MAX(10,ROUNDDOWN((('Calculator'!$B$10+A81)*SQRT('Calculator'!$B$11+B81)*SQRT('Calculator'!$B$12+C81)*0.667934^2)/10,0))</x:f>
        <x:v>2884</x:v>
      </x:c>
      <x:c r="F81" t="n">
        <x:f>--AND(A81&gt;='Calculator'!$B$5,B81&gt;='Calculator'!$B$5,C81&gt;='Calculator'!$B$5)</x:f>
        <x:v>1</x:v>
      </x:c>
      <x:c r="G81" t="n">
        <x:f>--AND(A81+'Calculator'!$B$6&gt;=15,B81+'Calculator'!$B$6&gt;=15,C81+'Calculator'!$B$6&gt;=15)</x:f>
        <x:v>0</x:v>
      </x:c>
      <x:c r="H81" t="n">
        <x:f>--AND(F81=1,D81='Calculator'!$B$4)</x:f>
        <x:v>0</x:v>
      </x:c>
      <x:c r="I81" t="n">
        <x:f>--AND(H81=1,G81=1)</x:f>
        <x:v>0</x:v>
      </x:c>
      <x:c r="J81" t="n">
        <x:f>--AND(F81=1,E81='Calculator'!$B$4)</x:f>
        <x:v>0</x:v>
      </x:c>
      <x:c r="K81" t="n">
        <x:f>--AND(J81=1,G81=1)</x:f>
        <x:v>0</x:v>
      </x:c>
      <x:c r="L81" t="str">
        <x:f>A81&amp;"/"&amp;B81&amp;"/"&amp;C81</x:f>
        <x:v>6/13/15</x:v>
      </x:c>
      <x:c r="M81" t="str">
        <x:f>MIN(15,A81+'Calculator'!$B$6)&amp;"/"&amp;MIN(15,B81+'Calculator'!$B$6)&amp;"/"&amp;MIN(15,C81+'Calculator'!$B$6)</x:f>
        <x:v>8/15/15</x:v>
      </x:c>
    </x:row>
    <x:row r="82">
      <x:c r="A82" t="n">
        <x:v>6</x:v>
      </x:c>
      <x:c r="B82" t="n">
        <x:v>14</x:v>
      </x:c>
      <x:c r="C82" t="n">
        <x:v>6</x:v>
      </x:c>
      <x:c r="D82" t="n">
        <x:f>MAX(10,ROUNDDOWN((('Calculator'!$B$10+A82)*SQRT('Calculator'!$B$11+B82)*SQRT('Calculator'!$B$12+C82)*0.59740001^2)/10,0))</x:f>
        <x:v>2267</x:v>
      </x:c>
      <x:c r="E82" t="n">
        <x:f>MAX(10,ROUNDDOWN((('Calculator'!$B$10+A82)*SQRT('Calculator'!$B$11+B82)*SQRT('Calculator'!$B$12+C82)*0.667934^2)/10,0))</x:f>
        <x:v>2834</x:v>
      </x:c>
      <x:c r="F82" t="n">
        <x:f>--AND(A82&gt;='Calculator'!$B$5,B82&gt;='Calculator'!$B$5,C82&gt;='Calculator'!$B$5)</x:f>
        <x:v>1</x:v>
      </x:c>
      <x:c r="G82" t="n">
        <x:f>--AND(A82+'Calculator'!$B$6&gt;=15,B82+'Calculator'!$B$6&gt;=15,C82+'Calculator'!$B$6&gt;=15)</x:f>
        <x:v>0</x:v>
      </x:c>
      <x:c r="H82" t="n">
        <x:f>--AND(F82=1,D82='Calculator'!$B$4)</x:f>
        <x:v>0</x:v>
      </x:c>
      <x:c r="I82" t="n">
        <x:f>--AND(H82=1,G82=1)</x:f>
        <x:v>0</x:v>
      </x:c>
      <x:c r="J82" t="n">
        <x:f>--AND(F82=1,E82='Calculator'!$B$4)</x:f>
        <x:v>0</x:v>
      </x:c>
      <x:c r="K82" t="n">
        <x:f>--AND(J82=1,G82=1)</x:f>
        <x:v>0</x:v>
      </x:c>
      <x:c r="L82" t="str">
        <x:f>A82&amp;"/"&amp;B82&amp;"/"&amp;C82</x:f>
        <x:v>6/14/6</x:v>
      </x:c>
      <x:c r="M82" t="str">
        <x:f>MIN(15,A82+'Calculator'!$B$6)&amp;"/"&amp;MIN(15,B82+'Calculator'!$B$6)&amp;"/"&amp;MIN(15,C82+'Calculator'!$B$6)</x:f>
        <x:v>8/15/8</x:v>
      </x:c>
    </x:row>
    <x:row r="83">
      <x:c r="A83" t="n">
        <x:v>6</x:v>
      </x:c>
      <x:c r="B83" t="n">
        <x:v>14</x:v>
      </x:c>
      <x:c r="C83" t="n">
        <x:v>7</x:v>
      </x:c>
      <x:c r="D83" t="n">
        <x:f>MAX(10,ROUNDDOWN((('Calculator'!$B$10+A83)*SQRT('Calculator'!$B$11+B83)*SQRT('Calculator'!$B$12+C83)*0.59740001^2)/10,0))</x:f>
        <x:v>2272</x:v>
      </x:c>
      <x:c r="E83" t="n">
        <x:f>MAX(10,ROUNDDOWN((('Calculator'!$B$10+A83)*SQRT('Calculator'!$B$11+B83)*SQRT('Calculator'!$B$12+C83)*0.667934^2)/10,0))</x:f>
        <x:v>2841</x:v>
      </x:c>
      <x:c r="F83" t="n">
        <x:f>--AND(A83&gt;='Calculator'!$B$5,B83&gt;='Calculator'!$B$5,C83&gt;='Calculator'!$B$5)</x:f>
        <x:v>1</x:v>
      </x:c>
      <x:c r="G83" t="n">
        <x:f>--AND(A83+'Calculator'!$B$6&gt;=15,B83+'Calculator'!$B$6&gt;=15,C83+'Calculator'!$B$6&gt;=15)</x:f>
        <x:v>0</x:v>
      </x:c>
      <x:c r="H83" t="n">
        <x:f>--AND(F83=1,D83='Calculator'!$B$4)</x:f>
        <x:v>0</x:v>
      </x:c>
      <x:c r="I83" t="n">
        <x:f>--AND(H83=1,G83=1)</x:f>
        <x:v>0</x:v>
      </x:c>
      <x:c r="J83" t="n">
        <x:f>--AND(F83=1,E83='Calculator'!$B$4)</x:f>
        <x:v>0</x:v>
      </x:c>
      <x:c r="K83" t="n">
        <x:f>--AND(J83=1,G83=1)</x:f>
        <x:v>0</x:v>
      </x:c>
      <x:c r="L83" t="str">
        <x:f>A83&amp;"/"&amp;B83&amp;"/"&amp;C83</x:f>
        <x:v>6/14/7</x:v>
      </x:c>
      <x:c r="M83" t="str">
        <x:f>MIN(15,A83+'Calculator'!$B$6)&amp;"/"&amp;MIN(15,B83+'Calculator'!$B$6)&amp;"/"&amp;MIN(15,C83+'Calculator'!$B$6)</x:f>
        <x:v>8/15/9</x:v>
      </x:c>
    </x:row>
    <x:row r="84">
      <x:c r="A84" t="n">
        <x:v>6</x:v>
      </x:c>
      <x:c r="B84" t="n">
        <x:v>14</x:v>
      </x:c>
      <x:c r="C84" t="n">
        <x:v>8</x:v>
      </x:c>
      <x:c r="D84" t="n">
        <x:f>MAX(10,ROUNDDOWN((('Calculator'!$B$10+A84)*SQRT('Calculator'!$B$11+B84)*SQRT('Calculator'!$B$12+C84)*0.59740001^2)/10,0))</x:f>
        <x:v>2278</x:v>
      </x:c>
      <x:c r="E84" t="n">
        <x:f>MAX(10,ROUNDDOWN((('Calculator'!$B$10+A84)*SQRT('Calculator'!$B$11+B84)*SQRT('Calculator'!$B$12+C84)*0.667934^2)/10,0))</x:f>
        <x:v>2847</x:v>
      </x:c>
      <x:c r="F84" t="n">
        <x:f>--AND(A84&gt;='Calculator'!$B$5,B84&gt;='Calculator'!$B$5,C84&gt;='Calculator'!$B$5)</x:f>
        <x:v>1</x:v>
      </x:c>
      <x:c r="G84" t="n">
        <x:f>--AND(A84+'Calculator'!$B$6&gt;=15,B84+'Calculator'!$B$6&gt;=15,C84+'Calculator'!$B$6&gt;=15)</x:f>
        <x:v>0</x:v>
      </x:c>
      <x:c r="H84" t="n">
        <x:f>--AND(F84=1,D84='Calculator'!$B$4)</x:f>
        <x:v>0</x:v>
      </x:c>
      <x:c r="I84" t="n">
        <x:f>--AND(H84=1,G84=1)</x:f>
        <x:v>0</x:v>
      </x:c>
      <x:c r="J84" t="n">
        <x:f>--AND(F84=1,E84='Calculator'!$B$4)</x:f>
        <x:v>0</x:v>
      </x:c>
      <x:c r="K84" t="n">
        <x:f>--AND(J84=1,G84=1)</x:f>
        <x:v>0</x:v>
      </x:c>
      <x:c r="L84" t="str">
        <x:f>A84&amp;"/"&amp;B84&amp;"/"&amp;C84</x:f>
        <x:v>6/14/8</x:v>
      </x:c>
      <x:c r="M84" t="str">
        <x:f>MIN(15,A84+'Calculator'!$B$6)&amp;"/"&amp;MIN(15,B84+'Calculator'!$B$6)&amp;"/"&amp;MIN(15,C84+'Calculator'!$B$6)</x:f>
        <x:v>8/15/10</x:v>
      </x:c>
    </x:row>
    <x:row r="85">
      <x:c r="A85" t="n">
        <x:v>6</x:v>
      </x:c>
      <x:c r="B85" t="n">
        <x:v>14</x:v>
      </x:c>
      <x:c r="C85" t="n">
        <x:v>9</x:v>
      </x:c>
      <x:c r="D85" t="n">
        <x:f>MAX(10,ROUNDDOWN((('Calculator'!$B$10+A85)*SQRT('Calculator'!$B$11+B85)*SQRT('Calculator'!$B$12+C85)*0.59740001^2)/10,0))</x:f>
        <x:v>2283</x:v>
      </x:c>
      <x:c r="E85" t="n">
        <x:f>MAX(10,ROUNDDOWN((('Calculator'!$B$10+A85)*SQRT('Calculator'!$B$11+B85)*SQRT('Calculator'!$B$12+C85)*0.667934^2)/10,0))</x:f>
        <x:v>2854</x:v>
      </x:c>
      <x:c r="F85" t="n">
        <x:f>--AND(A85&gt;='Calculator'!$B$5,B85&gt;='Calculator'!$B$5,C85&gt;='Calculator'!$B$5)</x:f>
        <x:v>1</x:v>
      </x:c>
      <x:c r="G85" t="n">
        <x:f>--AND(A85+'Calculator'!$B$6&gt;=15,B85+'Calculator'!$B$6&gt;=15,C85+'Calculator'!$B$6&gt;=15)</x:f>
        <x:v>0</x:v>
      </x:c>
      <x:c r="H85" t="n">
        <x:f>--AND(F85=1,D85='Calculator'!$B$4)</x:f>
        <x:v>0</x:v>
      </x:c>
      <x:c r="I85" t="n">
        <x:f>--AND(H85=1,G85=1)</x:f>
        <x:v>0</x:v>
      </x:c>
      <x:c r="J85" t="n">
        <x:f>--AND(F85=1,E85='Calculator'!$B$4)</x:f>
        <x:v>0</x:v>
      </x:c>
      <x:c r="K85" t="n">
        <x:f>--AND(J85=1,G85=1)</x:f>
        <x:v>0</x:v>
      </x:c>
      <x:c r="L85" t="str">
        <x:f>A85&amp;"/"&amp;B85&amp;"/"&amp;C85</x:f>
        <x:v>6/14/9</x:v>
      </x:c>
      <x:c r="M85" t="str">
        <x:f>MIN(15,A85+'Calculator'!$B$6)&amp;"/"&amp;MIN(15,B85+'Calculator'!$B$6)&amp;"/"&amp;MIN(15,C85+'Calculator'!$B$6)</x:f>
        <x:v>8/15/11</x:v>
      </x:c>
    </x:row>
    <x:row r="86">
      <x:c r="A86" t="n">
        <x:v>6</x:v>
      </x:c>
      <x:c r="B86" t="n">
        <x:v>14</x:v>
      </x:c>
      <x:c r="C86" t="n">
        <x:v>10</x:v>
      </x:c>
      <x:c r="D86" t="n">
        <x:f>MAX(10,ROUNDDOWN((('Calculator'!$B$10+A86)*SQRT('Calculator'!$B$11+B86)*SQRT('Calculator'!$B$12+C86)*0.59740001^2)/10,0))</x:f>
        <x:v>2288</x:v>
      </x:c>
      <x:c r="E86" t="n">
        <x:f>MAX(10,ROUNDDOWN((('Calculator'!$B$10+A86)*SQRT('Calculator'!$B$11+B86)*SQRT('Calculator'!$B$12+C86)*0.667934^2)/10,0))</x:f>
        <x:v>2860</x:v>
      </x:c>
      <x:c r="F86" t="n">
        <x:f>--AND(A86&gt;='Calculator'!$B$5,B86&gt;='Calculator'!$B$5,C86&gt;='Calculator'!$B$5)</x:f>
        <x:v>1</x:v>
      </x:c>
      <x:c r="G86" t="n">
        <x:f>--AND(A86+'Calculator'!$B$6&gt;=15,B86+'Calculator'!$B$6&gt;=15,C86+'Calculator'!$B$6&gt;=15)</x:f>
        <x:v>0</x:v>
      </x:c>
      <x:c r="H86" t="n">
        <x:f>--AND(F86=1,D86='Calculator'!$B$4)</x:f>
        <x:v>0</x:v>
      </x:c>
      <x:c r="I86" t="n">
        <x:f>--AND(H86=1,G86=1)</x:f>
        <x:v>0</x:v>
      </x:c>
      <x:c r="J86" t="n">
        <x:f>--AND(F86=1,E86='Calculator'!$B$4)</x:f>
        <x:v>0</x:v>
      </x:c>
      <x:c r="K86" t="n">
        <x:f>--AND(J86=1,G86=1)</x:f>
        <x:v>0</x:v>
      </x:c>
      <x:c r="L86" t="str">
        <x:f>A86&amp;"/"&amp;B86&amp;"/"&amp;C86</x:f>
        <x:v>6/14/10</x:v>
      </x:c>
      <x:c r="M86" t="str">
        <x:f>MIN(15,A86+'Calculator'!$B$6)&amp;"/"&amp;MIN(15,B86+'Calculator'!$B$6)&amp;"/"&amp;MIN(15,C86+'Calculator'!$B$6)</x:f>
        <x:v>8/15/12</x:v>
      </x:c>
    </x:row>
    <x:row r="87">
      <x:c r="A87" t="n">
        <x:v>6</x:v>
      </x:c>
      <x:c r="B87" t="n">
        <x:v>14</x:v>
      </x:c>
      <x:c r="C87" t="n">
        <x:v>11</x:v>
      </x:c>
      <x:c r="D87" t="n">
        <x:f>MAX(10,ROUNDDOWN((('Calculator'!$B$10+A87)*SQRT('Calculator'!$B$11+B87)*SQRT('Calculator'!$B$12+C87)*0.59740001^2)/10,0))</x:f>
        <x:v>2293</x:v>
      </x:c>
      <x:c r="E87" t="n">
        <x:f>MAX(10,ROUNDDOWN((('Calculator'!$B$10+A87)*SQRT('Calculator'!$B$11+B87)*SQRT('Calculator'!$B$12+C87)*0.667934^2)/10,0))</x:f>
        <x:v>2866</x:v>
      </x:c>
      <x:c r="F87" t="n">
        <x:f>--AND(A87&gt;='Calculator'!$B$5,B87&gt;='Calculator'!$B$5,C87&gt;='Calculator'!$B$5)</x:f>
        <x:v>1</x:v>
      </x:c>
      <x:c r="G87" t="n">
        <x:f>--AND(A87+'Calculator'!$B$6&gt;=15,B87+'Calculator'!$B$6&gt;=15,C87+'Calculator'!$B$6&gt;=15)</x:f>
        <x:v>0</x:v>
      </x:c>
      <x:c r="H87" t="n">
        <x:f>--AND(F87=1,D87='Calculator'!$B$4)</x:f>
        <x:v>0</x:v>
      </x:c>
      <x:c r="I87" t="n">
        <x:f>--AND(H87=1,G87=1)</x:f>
        <x:v>0</x:v>
      </x:c>
      <x:c r="J87" t="n">
        <x:f>--AND(F87=1,E87='Calculator'!$B$4)</x:f>
        <x:v>0</x:v>
      </x:c>
      <x:c r="K87" t="n">
        <x:f>--AND(J87=1,G87=1)</x:f>
        <x:v>0</x:v>
      </x:c>
      <x:c r="L87" t="str">
        <x:f>A87&amp;"/"&amp;B87&amp;"/"&amp;C87</x:f>
        <x:v>6/14/11</x:v>
      </x:c>
      <x:c r="M87" t="str">
        <x:f>MIN(15,A87+'Calculator'!$B$6)&amp;"/"&amp;MIN(15,B87+'Calculator'!$B$6)&amp;"/"&amp;MIN(15,C87+'Calculator'!$B$6)</x:f>
        <x:v>8/15/13</x:v>
      </x:c>
    </x:row>
    <x:row r="88">
      <x:c r="A88" t="n">
        <x:v>6</x:v>
      </x:c>
      <x:c r="B88" t="n">
        <x:v>14</x:v>
      </x:c>
      <x:c r="C88" t="n">
        <x:v>12</x:v>
      </x:c>
      <x:c r="D88" t="n">
        <x:f>MAX(10,ROUNDDOWN((('Calculator'!$B$10+A88)*SQRT('Calculator'!$B$11+B88)*SQRT('Calculator'!$B$12+C88)*0.59740001^2)/10,0))</x:f>
        <x:v>2298</x:v>
      </x:c>
      <x:c r="E88" t="n">
        <x:f>MAX(10,ROUNDDOWN((('Calculator'!$B$10+A88)*SQRT('Calculator'!$B$11+B88)*SQRT('Calculator'!$B$12+C88)*0.667934^2)/10,0))</x:f>
        <x:v>2873</x:v>
      </x:c>
      <x:c r="F88" t="n">
        <x:f>--AND(A88&gt;='Calculator'!$B$5,B88&gt;='Calculator'!$B$5,C88&gt;='Calculator'!$B$5)</x:f>
        <x:v>1</x:v>
      </x:c>
      <x:c r="G88" t="n">
        <x:f>--AND(A88+'Calculator'!$B$6&gt;=15,B88+'Calculator'!$B$6&gt;=15,C88+'Calculator'!$B$6&gt;=15)</x:f>
        <x:v>0</x:v>
      </x:c>
      <x:c r="H88" t="n">
        <x:f>--AND(F88=1,D88='Calculator'!$B$4)</x:f>
        <x:v>0</x:v>
      </x:c>
      <x:c r="I88" t="n">
        <x:f>--AND(H88=1,G88=1)</x:f>
        <x:v>0</x:v>
      </x:c>
      <x:c r="J88" t="n">
        <x:f>--AND(F88=1,E88='Calculator'!$B$4)</x:f>
        <x:v>0</x:v>
      </x:c>
      <x:c r="K88" t="n">
        <x:f>--AND(J88=1,G88=1)</x:f>
        <x:v>0</x:v>
      </x:c>
      <x:c r="L88" t="str">
        <x:f>A88&amp;"/"&amp;B88&amp;"/"&amp;C88</x:f>
        <x:v>6/14/12</x:v>
      </x:c>
      <x:c r="M88" t="str">
        <x:f>MIN(15,A88+'Calculator'!$B$6)&amp;"/"&amp;MIN(15,B88+'Calculator'!$B$6)&amp;"/"&amp;MIN(15,C88+'Calculator'!$B$6)</x:f>
        <x:v>8/15/14</x:v>
      </x:c>
    </x:row>
    <x:row r="89">
      <x:c r="A89" t="n">
        <x:v>6</x:v>
      </x:c>
      <x:c r="B89" t="n">
        <x:v>14</x:v>
      </x:c>
      <x:c r="C89" t="n">
        <x:v>13</x:v>
      </x:c>
      <x:c r="D89" t="n">
        <x:f>MAX(10,ROUNDDOWN((('Calculator'!$B$10+A89)*SQRT('Calculator'!$B$11+B89)*SQRT('Calculator'!$B$12+C89)*0.59740001^2)/10,0))</x:f>
        <x:v>2303</x:v>
      </x:c>
      <x:c r="E89" t="n">
        <x:f>MAX(10,ROUNDDOWN((('Calculator'!$B$10+A89)*SQRT('Calculator'!$B$11+B89)*SQRT('Calculator'!$B$12+C89)*0.667934^2)/10,0))</x:f>
        <x:v>2879</x:v>
      </x:c>
      <x:c r="F89" t="n">
        <x:f>--AND(A89&gt;='Calculator'!$B$5,B89&gt;='Calculator'!$B$5,C89&gt;='Calculator'!$B$5)</x:f>
        <x:v>1</x:v>
      </x:c>
      <x:c r="G89" t="n">
        <x:f>--AND(A89+'Calculator'!$B$6&gt;=15,B89+'Calculator'!$B$6&gt;=15,C89+'Calculator'!$B$6&gt;=15)</x:f>
        <x:v>0</x:v>
      </x:c>
      <x:c r="H89" t="n">
        <x:f>--AND(F89=1,D89='Calculator'!$B$4)</x:f>
        <x:v>0</x:v>
      </x:c>
      <x:c r="I89" t="n">
        <x:f>--AND(H89=1,G89=1)</x:f>
        <x:v>0</x:v>
      </x:c>
      <x:c r="J89" t="n">
        <x:f>--AND(F89=1,E89='Calculator'!$B$4)</x:f>
        <x:v>0</x:v>
      </x:c>
      <x:c r="K89" t="n">
        <x:f>--AND(J89=1,G89=1)</x:f>
        <x:v>0</x:v>
      </x:c>
      <x:c r="L89" t="str">
        <x:f>A89&amp;"/"&amp;B89&amp;"/"&amp;C89</x:f>
        <x:v>6/14/13</x:v>
      </x:c>
      <x:c r="M89" t="str">
        <x:f>MIN(15,A89+'Calculator'!$B$6)&amp;"/"&amp;MIN(15,B89+'Calculator'!$B$6)&amp;"/"&amp;MIN(15,C89+'Calculator'!$B$6)</x:f>
        <x:v>8/15/15</x:v>
      </x:c>
    </x:row>
    <x:row r="90">
      <x:c r="A90" t="n">
        <x:v>6</x:v>
      </x:c>
      <x:c r="B90" t="n">
        <x:v>14</x:v>
      </x:c>
      <x:c r="C90" t="n">
        <x:v>14</x:v>
      </x:c>
      <x:c r="D90" t="n">
        <x:f>MAX(10,ROUNDDOWN((('Calculator'!$B$10+A90)*SQRT('Calculator'!$B$11+B90)*SQRT('Calculator'!$B$12+C90)*0.59740001^2)/10,0))</x:f>
        <x:v>2308</x:v>
      </x:c>
      <x:c r="E90" t="n">
        <x:f>MAX(10,ROUNDDOWN((('Calculator'!$B$10+A90)*SQRT('Calculator'!$B$11+B90)*SQRT('Calculator'!$B$12+C90)*0.667934^2)/10,0))</x:f>
        <x:v>2885</x:v>
      </x:c>
      <x:c r="F90" t="n">
        <x:f>--AND(A90&gt;='Calculator'!$B$5,B90&gt;='Calculator'!$B$5,C90&gt;='Calculator'!$B$5)</x:f>
        <x:v>1</x:v>
      </x:c>
      <x:c r="G90" t="n">
        <x:f>--AND(A90+'Calculator'!$B$6&gt;=15,B90+'Calculator'!$B$6&gt;=15,C90+'Calculator'!$B$6&gt;=15)</x:f>
        <x:v>0</x:v>
      </x:c>
      <x:c r="H90" t="n">
        <x:f>--AND(F90=1,D90='Calculator'!$B$4)</x:f>
        <x:v>0</x:v>
      </x:c>
      <x:c r="I90" t="n">
        <x:f>--AND(H90=1,G90=1)</x:f>
        <x:v>0</x:v>
      </x:c>
      <x:c r="J90" t="n">
        <x:f>--AND(F90=1,E90='Calculator'!$B$4)</x:f>
        <x:v>0</x:v>
      </x:c>
      <x:c r="K90" t="n">
        <x:f>--AND(J90=1,G90=1)</x:f>
        <x:v>0</x:v>
      </x:c>
      <x:c r="L90" t="str">
        <x:f>A90&amp;"/"&amp;B90&amp;"/"&amp;C90</x:f>
        <x:v>6/14/14</x:v>
      </x:c>
      <x:c r="M90" t="str">
        <x:f>MIN(15,A90+'Calculator'!$B$6)&amp;"/"&amp;MIN(15,B90+'Calculator'!$B$6)&amp;"/"&amp;MIN(15,C90+'Calculator'!$B$6)</x:f>
        <x:v>8/15/15</x:v>
      </x:c>
    </x:row>
    <x:row r="91">
      <x:c r="A91" t="n">
        <x:v>6</x:v>
      </x:c>
      <x:c r="B91" t="n">
        <x:v>14</x:v>
      </x:c>
      <x:c r="C91" t="n">
        <x:v>15</x:v>
      </x:c>
      <x:c r="D91" t="n">
        <x:f>MAX(10,ROUNDDOWN((('Calculator'!$B$10+A91)*SQRT('Calculator'!$B$11+B91)*SQRT('Calculator'!$B$12+C91)*0.59740001^2)/10,0))</x:f>
        <x:v>2313</x:v>
      </x:c>
      <x:c r="E91" t="n">
        <x:f>MAX(10,ROUNDDOWN((('Calculator'!$B$10+A91)*SQRT('Calculator'!$B$11+B91)*SQRT('Calculator'!$B$12+C91)*0.667934^2)/10,0))</x:f>
        <x:v>2892</x:v>
      </x:c>
      <x:c r="F91" t="n">
        <x:f>--AND(A91&gt;='Calculator'!$B$5,B91&gt;='Calculator'!$B$5,C91&gt;='Calculator'!$B$5)</x:f>
        <x:v>1</x:v>
      </x:c>
      <x:c r="G91" t="n">
        <x:f>--AND(A91+'Calculator'!$B$6&gt;=15,B91+'Calculator'!$B$6&gt;=15,C91+'Calculator'!$B$6&gt;=15)</x:f>
        <x:v>0</x:v>
      </x:c>
      <x:c r="H91" t="n">
        <x:f>--AND(F91=1,D91='Calculator'!$B$4)</x:f>
        <x:v>0</x:v>
      </x:c>
      <x:c r="I91" t="n">
        <x:f>--AND(H91=1,G91=1)</x:f>
        <x:v>0</x:v>
      </x:c>
      <x:c r="J91" t="n">
        <x:f>--AND(F91=1,E91='Calculator'!$B$4)</x:f>
        <x:v>0</x:v>
      </x:c>
      <x:c r="K91" t="n">
        <x:f>--AND(J91=1,G91=1)</x:f>
        <x:v>0</x:v>
      </x:c>
      <x:c r="L91" t="str">
        <x:f>A91&amp;"/"&amp;B91&amp;"/"&amp;C91</x:f>
        <x:v>6/14/15</x:v>
      </x:c>
      <x:c r="M91" t="str">
        <x:f>MIN(15,A91+'Calculator'!$B$6)&amp;"/"&amp;MIN(15,B91+'Calculator'!$B$6)&amp;"/"&amp;MIN(15,C91+'Calculator'!$B$6)</x:f>
        <x:v>8/15/15</x:v>
      </x:c>
    </x:row>
    <x:row r="92">
      <x:c r="A92" t="n">
        <x:v>6</x:v>
      </x:c>
      <x:c r="B92" t="n">
        <x:v>15</x:v>
      </x:c>
      <x:c r="C92" t="n">
        <x:v>6</x:v>
      </x:c>
      <x:c r="D92" t="n">
        <x:f>MAX(10,ROUNDDOWN((('Calculator'!$B$10+A92)*SQRT('Calculator'!$B$11+B92)*SQRT('Calculator'!$B$12+C92)*0.59740001^2)/10,0))</x:f>
        <x:v>2273</x:v>
      </x:c>
      <x:c r="E92" t="n">
        <x:f>MAX(10,ROUNDDOWN((('Calculator'!$B$10+A92)*SQRT('Calculator'!$B$11+B92)*SQRT('Calculator'!$B$12+C92)*0.667934^2)/10,0))</x:f>
        <x:v>2842</x:v>
      </x:c>
      <x:c r="F92" t="n">
        <x:f>--AND(A92&gt;='Calculator'!$B$5,B92&gt;='Calculator'!$B$5,C92&gt;='Calculator'!$B$5)</x:f>
        <x:v>1</x:v>
      </x:c>
      <x:c r="G92" t="n">
        <x:f>--AND(A92+'Calculator'!$B$6&gt;=15,B92+'Calculator'!$B$6&gt;=15,C92+'Calculator'!$B$6&gt;=15)</x:f>
        <x:v>0</x:v>
      </x:c>
      <x:c r="H92" t="n">
        <x:f>--AND(F92=1,D92='Calculator'!$B$4)</x:f>
        <x:v>0</x:v>
      </x:c>
      <x:c r="I92" t="n">
        <x:f>--AND(H92=1,G92=1)</x:f>
        <x:v>0</x:v>
      </x:c>
      <x:c r="J92" t="n">
        <x:f>--AND(F92=1,E92='Calculator'!$B$4)</x:f>
        <x:v>0</x:v>
      </x:c>
      <x:c r="K92" t="n">
        <x:f>--AND(J92=1,G92=1)</x:f>
        <x:v>0</x:v>
      </x:c>
      <x:c r="L92" t="str">
        <x:f>A92&amp;"/"&amp;B92&amp;"/"&amp;C92</x:f>
        <x:v>6/15/6</x:v>
      </x:c>
      <x:c r="M92" t="str">
        <x:f>MIN(15,A92+'Calculator'!$B$6)&amp;"/"&amp;MIN(15,B92+'Calculator'!$B$6)&amp;"/"&amp;MIN(15,C92+'Calculator'!$B$6)</x:f>
        <x:v>8/15/8</x:v>
      </x:c>
    </x:row>
    <x:row r="93">
      <x:c r="A93" t="n">
        <x:v>6</x:v>
      </x:c>
      <x:c r="B93" t="n">
        <x:v>15</x:v>
      </x:c>
      <x:c r="C93" t="n">
        <x:v>7</x:v>
      </x:c>
      <x:c r="D93" t="n">
        <x:f>MAX(10,ROUNDDOWN((('Calculator'!$B$10+A93)*SQRT('Calculator'!$B$11+B93)*SQRT('Calculator'!$B$12+C93)*0.59740001^2)/10,0))</x:f>
        <x:v>2278</x:v>
      </x:c>
      <x:c r="E93" t="n">
        <x:f>MAX(10,ROUNDDOWN((('Calculator'!$B$10+A93)*SQRT('Calculator'!$B$11+B93)*SQRT('Calculator'!$B$12+C93)*0.667934^2)/10,0))</x:f>
        <x:v>2848</x:v>
      </x:c>
      <x:c r="F93" t="n">
        <x:f>--AND(A93&gt;='Calculator'!$B$5,B93&gt;='Calculator'!$B$5,C93&gt;='Calculator'!$B$5)</x:f>
        <x:v>1</x:v>
      </x:c>
      <x:c r="G93" t="n">
        <x:f>--AND(A93+'Calculator'!$B$6&gt;=15,B93+'Calculator'!$B$6&gt;=15,C93+'Calculator'!$B$6&gt;=15)</x:f>
        <x:v>0</x:v>
      </x:c>
      <x:c r="H93" t="n">
        <x:f>--AND(F93=1,D93='Calculator'!$B$4)</x:f>
        <x:v>0</x:v>
      </x:c>
      <x:c r="I93" t="n">
        <x:f>--AND(H93=1,G93=1)</x:f>
        <x:v>0</x:v>
      </x:c>
      <x:c r="J93" t="n">
        <x:f>--AND(F93=1,E93='Calculator'!$B$4)</x:f>
        <x:v>0</x:v>
      </x:c>
      <x:c r="K93" t="n">
        <x:f>--AND(J93=1,G93=1)</x:f>
        <x:v>0</x:v>
      </x:c>
      <x:c r="L93" t="str">
        <x:f>A93&amp;"/"&amp;B93&amp;"/"&amp;C93</x:f>
        <x:v>6/15/7</x:v>
      </x:c>
      <x:c r="M93" t="str">
        <x:f>MIN(15,A93+'Calculator'!$B$6)&amp;"/"&amp;MIN(15,B93+'Calculator'!$B$6)&amp;"/"&amp;MIN(15,C93+'Calculator'!$B$6)</x:f>
        <x:v>8/15/9</x:v>
      </x:c>
    </x:row>
    <x:row r="94">
      <x:c r="A94" t="n">
        <x:v>6</x:v>
      </x:c>
      <x:c r="B94" t="n">
        <x:v>15</x:v>
      </x:c>
      <x:c r="C94" t="n">
        <x:v>8</x:v>
      </x:c>
      <x:c r="D94" t="n">
        <x:f>MAX(10,ROUNDDOWN((('Calculator'!$B$10+A94)*SQRT('Calculator'!$B$11+B94)*SQRT('Calculator'!$B$12+C94)*0.59740001^2)/10,0))</x:f>
        <x:v>2283</x:v>
      </x:c>
      <x:c r="E94" t="n">
        <x:f>MAX(10,ROUNDDOWN((('Calculator'!$B$10+A94)*SQRT('Calculator'!$B$11+B94)*SQRT('Calculator'!$B$12+C94)*0.667934^2)/10,0))</x:f>
        <x:v>2854</x:v>
      </x:c>
      <x:c r="F94" t="n">
        <x:f>--AND(A94&gt;='Calculator'!$B$5,B94&gt;='Calculator'!$B$5,C94&gt;='Calculator'!$B$5)</x:f>
        <x:v>1</x:v>
      </x:c>
      <x:c r="G94" t="n">
        <x:f>--AND(A94+'Calculator'!$B$6&gt;=15,B94+'Calculator'!$B$6&gt;=15,C94+'Calculator'!$B$6&gt;=15)</x:f>
        <x:v>0</x:v>
      </x:c>
      <x:c r="H94" t="n">
        <x:f>--AND(F94=1,D94='Calculator'!$B$4)</x:f>
        <x:v>0</x:v>
      </x:c>
      <x:c r="I94" t="n">
        <x:f>--AND(H94=1,G94=1)</x:f>
        <x:v>0</x:v>
      </x:c>
      <x:c r="J94" t="n">
        <x:f>--AND(F94=1,E94='Calculator'!$B$4)</x:f>
        <x:v>0</x:v>
      </x:c>
      <x:c r="K94" t="n">
        <x:f>--AND(J94=1,G94=1)</x:f>
        <x:v>0</x:v>
      </x:c>
      <x:c r="L94" t="str">
        <x:f>A94&amp;"/"&amp;B94&amp;"/"&amp;C94</x:f>
        <x:v>6/15/8</x:v>
      </x:c>
      <x:c r="M94" t="str">
        <x:f>MIN(15,A94+'Calculator'!$B$6)&amp;"/"&amp;MIN(15,B94+'Calculator'!$B$6)&amp;"/"&amp;MIN(15,C94+'Calculator'!$B$6)</x:f>
        <x:v>8/15/10</x:v>
      </x:c>
    </x:row>
    <x:row r="95">
      <x:c r="A95" t="n">
        <x:v>6</x:v>
      </x:c>
      <x:c r="B95" t="n">
        <x:v>15</x:v>
      </x:c>
      <x:c r="C95" t="n">
        <x:v>9</x:v>
      </x:c>
      <x:c r="D95" t="n">
        <x:f>MAX(10,ROUNDDOWN((('Calculator'!$B$10+A95)*SQRT('Calculator'!$B$11+B95)*SQRT('Calculator'!$B$12+C95)*0.59740001^2)/10,0))</x:f>
        <x:v>2288</x:v>
      </x:c>
      <x:c r="E95" t="n">
        <x:f>MAX(10,ROUNDDOWN((('Calculator'!$B$10+A95)*SQRT('Calculator'!$B$11+B95)*SQRT('Calculator'!$B$12+C95)*0.667934^2)/10,0))</x:f>
        <x:v>2861</x:v>
      </x:c>
      <x:c r="F95" t="n">
        <x:f>--AND(A95&gt;='Calculator'!$B$5,B95&gt;='Calculator'!$B$5,C95&gt;='Calculator'!$B$5)</x:f>
        <x:v>1</x:v>
      </x:c>
      <x:c r="G95" t="n">
        <x:f>--AND(A95+'Calculator'!$B$6&gt;=15,B95+'Calculator'!$B$6&gt;=15,C95+'Calculator'!$B$6&gt;=15)</x:f>
        <x:v>0</x:v>
      </x:c>
      <x:c r="H95" t="n">
        <x:f>--AND(F95=1,D95='Calculator'!$B$4)</x:f>
        <x:v>0</x:v>
      </x:c>
      <x:c r="I95" t="n">
        <x:f>--AND(H95=1,G95=1)</x:f>
        <x:v>0</x:v>
      </x:c>
      <x:c r="J95" t="n">
        <x:f>--AND(F95=1,E95='Calculator'!$B$4)</x:f>
        <x:v>0</x:v>
      </x:c>
      <x:c r="K95" t="n">
        <x:f>--AND(J95=1,G95=1)</x:f>
        <x:v>0</x:v>
      </x:c>
      <x:c r="L95" t="str">
        <x:f>A95&amp;"/"&amp;B95&amp;"/"&amp;C95</x:f>
        <x:v>6/15/9</x:v>
      </x:c>
      <x:c r="M95" t="str">
        <x:f>MIN(15,A95+'Calculator'!$B$6)&amp;"/"&amp;MIN(15,B95+'Calculator'!$B$6)&amp;"/"&amp;MIN(15,C95+'Calculator'!$B$6)</x:f>
        <x:v>8/15/11</x:v>
      </x:c>
    </x:row>
    <x:row r="96">
      <x:c r="A96" t="n">
        <x:v>6</x:v>
      </x:c>
      <x:c r="B96" t="n">
        <x:v>15</x:v>
      </x:c>
      <x:c r="C96" t="n">
        <x:v>10</x:v>
      </x:c>
      <x:c r="D96" t="n">
        <x:f>MAX(10,ROUNDDOWN((('Calculator'!$B$10+A96)*SQRT('Calculator'!$B$11+B96)*SQRT('Calculator'!$B$12+C96)*0.59740001^2)/10,0))</x:f>
        <x:v>2294</x:v>
      </x:c>
      <x:c r="E96" t="n">
        <x:f>MAX(10,ROUNDDOWN((('Calculator'!$B$10+A96)*SQRT('Calculator'!$B$11+B96)*SQRT('Calculator'!$B$12+C96)*0.667934^2)/10,0))</x:f>
        <x:v>2867</x:v>
      </x:c>
      <x:c r="F96" t="n">
        <x:f>--AND(A96&gt;='Calculator'!$B$5,B96&gt;='Calculator'!$B$5,C96&gt;='Calculator'!$B$5)</x:f>
        <x:v>1</x:v>
      </x:c>
      <x:c r="G96" t="n">
        <x:f>--AND(A96+'Calculator'!$B$6&gt;=15,B96+'Calculator'!$B$6&gt;=15,C96+'Calculator'!$B$6&gt;=15)</x:f>
        <x:v>0</x:v>
      </x:c>
      <x:c r="H96" t="n">
        <x:f>--AND(F96=1,D96='Calculator'!$B$4)</x:f>
        <x:v>0</x:v>
      </x:c>
      <x:c r="I96" t="n">
        <x:f>--AND(H96=1,G96=1)</x:f>
        <x:v>0</x:v>
      </x:c>
      <x:c r="J96" t="n">
        <x:f>--AND(F96=1,E96='Calculator'!$B$4)</x:f>
        <x:v>0</x:v>
      </x:c>
      <x:c r="K96" t="n">
        <x:f>--AND(J96=1,G96=1)</x:f>
        <x:v>0</x:v>
      </x:c>
      <x:c r="L96" t="str">
        <x:f>A96&amp;"/"&amp;B96&amp;"/"&amp;C96</x:f>
        <x:v>6/15/10</x:v>
      </x:c>
      <x:c r="M96" t="str">
        <x:f>MIN(15,A96+'Calculator'!$B$6)&amp;"/"&amp;MIN(15,B96+'Calculator'!$B$6)&amp;"/"&amp;MIN(15,C96+'Calculator'!$B$6)</x:f>
        <x:v>8/15/12</x:v>
      </x:c>
    </x:row>
    <x:row r="97">
      <x:c r="A97" t="n">
        <x:v>6</x:v>
      </x:c>
      <x:c r="B97" t="n">
        <x:v>15</x:v>
      </x:c>
      <x:c r="C97" t="n">
        <x:v>11</x:v>
      </x:c>
      <x:c r="D97" t="n">
        <x:f>MAX(10,ROUNDDOWN((('Calculator'!$B$10+A97)*SQRT('Calculator'!$B$11+B97)*SQRT('Calculator'!$B$12+C97)*0.59740001^2)/10,0))</x:f>
        <x:v>2299</x:v>
      </x:c>
      <x:c r="E97" t="n">
        <x:f>MAX(10,ROUNDDOWN((('Calculator'!$B$10+A97)*SQRT('Calculator'!$B$11+B97)*SQRT('Calculator'!$B$12+C97)*0.667934^2)/10,0))</x:f>
        <x:v>2874</x:v>
      </x:c>
      <x:c r="F97" t="n">
        <x:f>--AND(A97&gt;='Calculator'!$B$5,B97&gt;='Calculator'!$B$5,C97&gt;='Calculator'!$B$5)</x:f>
        <x:v>1</x:v>
      </x:c>
      <x:c r="G97" t="n">
        <x:f>--AND(A97+'Calculator'!$B$6&gt;=15,B97+'Calculator'!$B$6&gt;=15,C97+'Calculator'!$B$6&gt;=15)</x:f>
        <x:v>0</x:v>
      </x:c>
      <x:c r="H97" t="n">
        <x:f>--AND(F97=1,D97='Calculator'!$B$4)</x:f>
        <x:v>0</x:v>
      </x:c>
      <x:c r="I97" t="n">
        <x:f>--AND(H97=1,G97=1)</x:f>
        <x:v>0</x:v>
      </x:c>
      <x:c r="J97" t="n">
        <x:f>--AND(F97=1,E97='Calculator'!$B$4)</x:f>
        <x:v>0</x:v>
      </x:c>
      <x:c r="K97" t="n">
        <x:f>--AND(J97=1,G97=1)</x:f>
        <x:v>0</x:v>
      </x:c>
      <x:c r="L97" t="str">
        <x:f>A97&amp;"/"&amp;B97&amp;"/"&amp;C97</x:f>
        <x:v>6/15/11</x:v>
      </x:c>
      <x:c r="M97" t="str">
        <x:f>MIN(15,A97+'Calculator'!$B$6)&amp;"/"&amp;MIN(15,B97+'Calculator'!$B$6)&amp;"/"&amp;MIN(15,C97+'Calculator'!$B$6)</x:f>
        <x:v>8/15/13</x:v>
      </x:c>
    </x:row>
    <x:row r="98">
      <x:c r="A98" t="n">
        <x:v>6</x:v>
      </x:c>
      <x:c r="B98" t="n">
        <x:v>15</x:v>
      </x:c>
      <x:c r="C98" t="n">
        <x:v>12</x:v>
      </x:c>
      <x:c r="D98" t="n">
        <x:f>MAX(10,ROUNDDOWN((('Calculator'!$B$10+A98)*SQRT('Calculator'!$B$11+B98)*SQRT('Calculator'!$B$12+C98)*0.59740001^2)/10,0))</x:f>
        <x:v>2304</x:v>
      </x:c>
      <x:c r="E98" t="n">
        <x:f>MAX(10,ROUNDDOWN((('Calculator'!$B$10+A98)*SQRT('Calculator'!$B$11+B98)*SQRT('Calculator'!$B$12+C98)*0.667934^2)/10,0))</x:f>
        <x:v>2880</x:v>
      </x:c>
      <x:c r="F98" t="n">
        <x:f>--AND(A98&gt;='Calculator'!$B$5,B98&gt;='Calculator'!$B$5,C98&gt;='Calculator'!$B$5)</x:f>
        <x:v>1</x:v>
      </x:c>
      <x:c r="G98" t="n">
        <x:f>--AND(A98+'Calculator'!$B$6&gt;=15,B98+'Calculator'!$B$6&gt;=15,C98+'Calculator'!$B$6&gt;=15)</x:f>
        <x:v>0</x:v>
      </x:c>
      <x:c r="H98" t="n">
        <x:f>--AND(F98=1,D98='Calculator'!$B$4)</x:f>
        <x:v>0</x:v>
      </x:c>
      <x:c r="I98" t="n">
        <x:f>--AND(H98=1,G98=1)</x:f>
        <x:v>0</x:v>
      </x:c>
      <x:c r="J98" t="n">
        <x:f>--AND(F98=1,E98='Calculator'!$B$4)</x:f>
        <x:v>0</x:v>
      </x:c>
      <x:c r="K98" t="n">
        <x:f>--AND(J98=1,G98=1)</x:f>
        <x:v>0</x:v>
      </x:c>
      <x:c r="L98" t="str">
        <x:f>A98&amp;"/"&amp;B98&amp;"/"&amp;C98</x:f>
        <x:v>6/15/12</x:v>
      </x:c>
      <x:c r="M98" t="str">
        <x:f>MIN(15,A98+'Calculator'!$B$6)&amp;"/"&amp;MIN(15,B98+'Calculator'!$B$6)&amp;"/"&amp;MIN(15,C98+'Calculator'!$B$6)</x:f>
        <x:v>8/15/14</x:v>
      </x:c>
    </x:row>
    <x:row r="99">
      <x:c r="A99" t="n">
        <x:v>6</x:v>
      </x:c>
      <x:c r="B99" t="n">
        <x:v>15</x:v>
      </x:c>
      <x:c r="C99" t="n">
        <x:v>13</x:v>
      </x:c>
      <x:c r="D99" t="n">
        <x:f>MAX(10,ROUNDDOWN((('Calculator'!$B$10+A99)*SQRT('Calculator'!$B$11+B99)*SQRT('Calculator'!$B$12+C99)*0.59740001^2)/10,0))</x:f>
        <x:v>2309</x:v>
      </x:c>
      <x:c r="E99" t="n">
        <x:f>MAX(10,ROUNDDOWN((('Calculator'!$B$10+A99)*SQRT('Calculator'!$B$11+B99)*SQRT('Calculator'!$B$12+C99)*0.667934^2)/10,0))</x:f>
        <x:v>2886</x:v>
      </x:c>
      <x:c r="F99" t="n">
        <x:f>--AND(A99&gt;='Calculator'!$B$5,B99&gt;='Calculator'!$B$5,C99&gt;='Calculator'!$B$5)</x:f>
        <x:v>1</x:v>
      </x:c>
      <x:c r="G99" t="n">
        <x:f>--AND(A99+'Calculator'!$B$6&gt;=15,B99+'Calculator'!$B$6&gt;=15,C99+'Calculator'!$B$6&gt;=15)</x:f>
        <x:v>0</x:v>
      </x:c>
      <x:c r="H99" t="n">
        <x:f>--AND(F99=1,D99='Calculator'!$B$4)</x:f>
        <x:v>0</x:v>
      </x:c>
      <x:c r="I99" t="n">
        <x:f>--AND(H99=1,G99=1)</x:f>
        <x:v>0</x:v>
      </x:c>
      <x:c r="J99" t="n">
        <x:f>--AND(F99=1,E99='Calculator'!$B$4)</x:f>
        <x:v>0</x:v>
      </x:c>
      <x:c r="K99" t="n">
        <x:f>--AND(J99=1,G99=1)</x:f>
        <x:v>0</x:v>
      </x:c>
      <x:c r="L99" t="str">
        <x:f>A99&amp;"/"&amp;B99&amp;"/"&amp;C99</x:f>
        <x:v>6/15/13</x:v>
      </x:c>
      <x:c r="M99" t="str">
        <x:f>MIN(15,A99+'Calculator'!$B$6)&amp;"/"&amp;MIN(15,B99+'Calculator'!$B$6)&amp;"/"&amp;MIN(15,C99+'Calculator'!$B$6)</x:f>
        <x:v>8/15/15</x:v>
      </x:c>
    </x:row>
    <x:row r="100">
      <x:c r="A100" t="n">
        <x:v>6</x:v>
      </x:c>
      <x:c r="B100" t="n">
        <x:v>15</x:v>
      </x:c>
      <x:c r="C100" t="n">
        <x:v>14</x:v>
      </x:c>
      <x:c r="D100" t="n">
        <x:f>MAX(10,ROUNDDOWN((('Calculator'!$B$10+A100)*SQRT('Calculator'!$B$11+B100)*SQRT('Calculator'!$B$12+C100)*0.59740001^2)/10,0))</x:f>
        <x:v>2314</x:v>
      </x:c>
      <x:c r="E100" t="n">
        <x:f>MAX(10,ROUNDDOWN((('Calculator'!$B$10+A100)*SQRT('Calculator'!$B$11+B100)*SQRT('Calculator'!$B$12+C100)*0.667934^2)/10,0))</x:f>
        <x:v>2893</x:v>
      </x:c>
      <x:c r="F100" t="n">
        <x:f>--AND(A100&gt;='Calculator'!$B$5,B100&gt;='Calculator'!$B$5,C100&gt;='Calculator'!$B$5)</x:f>
        <x:v>1</x:v>
      </x:c>
      <x:c r="G100" t="n">
        <x:f>--AND(A100+'Calculator'!$B$6&gt;=15,B100+'Calculator'!$B$6&gt;=15,C100+'Calculator'!$B$6&gt;=15)</x:f>
        <x:v>0</x:v>
      </x:c>
      <x:c r="H100" t="n">
        <x:f>--AND(F100=1,D100='Calculator'!$B$4)</x:f>
        <x:v>0</x:v>
      </x:c>
      <x:c r="I100" t="n">
        <x:f>--AND(H100=1,G100=1)</x:f>
        <x:v>0</x:v>
      </x:c>
      <x:c r="J100" t="n">
        <x:f>--AND(F100=1,E100='Calculator'!$B$4)</x:f>
        <x:v>0</x:v>
      </x:c>
      <x:c r="K100" t="n">
        <x:f>--AND(J100=1,G100=1)</x:f>
        <x:v>0</x:v>
      </x:c>
      <x:c r="L100" t="str">
        <x:f>A100&amp;"/"&amp;B100&amp;"/"&amp;C100</x:f>
        <x:v>6/15/14</x:v>
      </x:c>
      <x:c r="M100" t="str">
        <x:f>MIN(15,A100+'Calculator'!$B$6)&amp;"/"&amp;MIN(15,B100+'Calculator'!$B$6)&amp;"/"&amp;MIN(15,C100+'Calculator'!$B$6)</x:f>
        <x:v>8/15/15</x:v>
      </x:c>
    </x:row>
    <x:row r="101">
      <x:c r="A101" t="n">
        <x:v>6</x:v>
      </x:c>
      <x:c r="B101" t="n">
        <x:v>15</x:v>
      </x:c>
      <x:c r="C101" t="n">
        <x:v>15</x:v>
      </x:c>
      <x:c r="D101" t="n">
        <x:f>MAX(10,ROUNDDOWN((('Calculator'!$B$10+A101)*SQRT('Calculator'!$B$11+B101)*SQRT('Calculator'!$B$12+C101)*0.59740001^2)/10,0))</x:f>
        <x:v>2319</x:v>
      </x:c>
      <x:c r="E101" t="n">
        <x:f>MAX(10,ROUNDDOWN((('Calculator'!$B$10+A101)*SQRT('Calculator'!$B$11+B101)*SQRT('Calculator'!$B$12+C101)*0.667934^2)/10,0))</x:f>
        <x:v>2899</x:v>
      </x:c>
      <x:c r="F101" t="n">
        <x:f>--AND(A101&gt;='Calculator'!$B$5,B101&gt;='Calculator'!$B$5,C101&gt;='Calculator'!$B$5)</x:f>
        <x:v>1</x:v>
      </x:c>
      <x:c r="G101" t="n">
        <x:f>--AND(A101+'Calculator'!$B$6&gt;=15,B101+'Calculator'!$B$6&gt;=15,C101+'Calculator'!$B$6&gt;=15)</x:f>
        <x:v>0</x:v>
      </x:c>
      <x:c r="H101" t="n">
        <x:f>--AND(F101=1,D101='Calculator'!$B$4)</x:f>
        <x:v>0</x:v>
      </x:c>
      <x:c r="I101" t="n">
        <x:f>--AND(H101=1,G101=1)</x:f>
        <x:v>0</x:v>
      </x:c>
      <x:c r="J101" t="n">
        <x:f>--AND(F101=1,E101='Calculator'!$B$4)</x:f>
        <x:v>0</x:v>
      </x:c>
      <x:c r="K101" t="n">
        <x:f>--AND(J101=1,G101=1)</x:f>
        <x:v>0</x:v>
      </x:c>
      <x:c r="L101" t="str">
        <x:f>A101&amp;"/"&amp;B101&amp;"/"&amp;C101</x:f>
        <x:v>6/15/15</x:v>
      </x:c>
      <x:c r="M101" t="str">
        <x:f>MIN(15,A101+'Calculator'!$B$6)&amp;"/"&amp;MIN(15,B101+'Calculator'!$B$6)&amp;"/"&amp;MIN(15,C101+'Calculator'!$B$6)</x:f>
        <x:v>8/15/15</x:v>
      </x:c>
    </x:row>
    <x:row r="102">
      <x:c r="A102" t="n">
        <x:v>7</x:v>
      </x:c>
      <x:c r="B102" t="n">
        <x:v>6</x:v>
      </x:c>
      <x:c r="C102" t="n">
        <x:v>6</x:v>
      </x:c>
      <x:c r="D102" t="n">
        <x:f>MAX(10,ROUNDDOWN((('Calculator'!$B$10+A102)*SQRT('Calculator'!$B$11+B102)*SQRT('Calculator'!$B$12+C102)*0.59740001^2)/10,0))</x:f>
        <x:v>2228</x:v>
      </x:c>
      <x:c r="E102" t="n">
        <x:f>MAX(10,ROUNDDOWN((('Calculator'!$B$10+A102)*SQRT('Calculator'!$B$11+B102)*SQRT('Calculator'!$B$12+C102)*0.667934^2)/10,0))</x:f>
        <x:v>2785</x:v>
      </x:c>
      <x:c r="F102" t="n">
        <x:f>--AND(A102&gt;='Calculator'!$B$5,B102&gt;='Calculator'!$B$5,C102&gt;='Calculator'!$B$5)</x:f>
        <x:v>1</x:v>
      </x:c>
      <x:c r="G102" t="n">
        <x:f>--AND(A102+'Calculator'!$B$6&gt;=15,B102+'Calculator'!$B$6&gt;=15,C102+'Calculator'!$B$6&gt;=15)</x:f>
        <x:v>0</x:v>
      </x:c>
      <x:c r="H102" t="n">
        <x:f>--AND(F102=1,D102='Calculator'!$B$4)</x:f>
        <x:v>0</x:v>
      </x:c>
      <x:c r="I102" t="n">
        <x:f>--AND(H102=1,G102=1)</x:f>
        <x:v>0</x:v>
      </x:c>
      <x:c r="J102" t="n">
        <x:f>--AND(F102=1,E102='Calculator'!$B$4)</x:f>
        <x:v>0</x:v>
      </x:c>
      <x:c r="K102" t="n">
        <x:f>--AND(J102=1,G102=1)</x:f>
        <x:v>0</x:v>
      </x:c>
      <x:c r="L102" t="str">
        <x:f>A102&amp;"/"&amp;B102&amp;"/"&amp;C102</x:f>
        <x:v>7/6/6</x:v>
      </x:c>
      <x:c r="M102" t="str">
        <x:f>MIN(15,A102+'Calculator'!$B$6)&amp;"/"&amp;MIN(15,B102+'Calculator'!$B$6)&amp;"/"&amp;MIN(15,C102+'Calculator'!$B$6)</x:f>
        <x:v>9/8/8</x:v>
      </x:c>
    </x:row>
    <x:row r="103">
      <x:c r="A103" t="n">
        <x:v>7</x:v>
      </x:c>
      <x:c r="B103" t="n">
        <x:v>6</x:v>
      </x:c>
      <x:c r="C103" t="n">
        <x:v>7</x:v>
      </x:c>
      <x:c r="D103" t="n">
        <x:f>MAX(10,ROUNDDOWN((('Calculator'!$B$10+A103)*SQRT('Calculator'!$B$11+B103)*SQRT('Calculator'!$B$12+C103)*0.59740001^2)/10,0))</x:f>
        <x:v>2233</x:v>
      </x:c>
      <x:c r="E103" t="n">
        <x:f>MAX(10,ROUNDDOWN((('Calculator'!$B$10+A103)*SQRT('Calculator'!$B$11+B103)*SQRT('Calculator'!$B$12+C103)*0.667934^2)/10,0))</x:f>
        <x:v>2791</x:v>
      </x:c>
      <x:c r="F103" t="n">
        <x:f>--AND(A103&gt;='Calculator'!$B$5,B103&gt;='Calculator'!$B$5,C103&gt;='Calculator'!$B$5)</x:f>
        <x:v>1</x:v>
      </x:c>
      <x:c r="G103" t="n">
        <x:f>--AND(A103+'Calculator'!$B$6&gt;=15,B103+'Calculator'!$B$6&gt;=15,C103+'Calculator'!$B$6&gt;=15)</x:f>
        <x:v>0</x:v>
      </x:c>
      <x:c r="H103" t="n">
        <x:f>--AND(F103=1,D103='Calculator'!$B$4)</x:f>
        <x:v>0</x:v>
      </x:c>
      <x:c r="I103" t="n">
        <x:f>--AND(H103=1,G103=1)</x:f>
        <x:v>0</x:v>
      </x:c>
      <x:c r="J103" t="n">
        <x:f>--AND(F103=1,E103='Calculator'!$B$4)</x:f>
        <x:v>0</x:v>
      </x:c>
      <x:c r="K103" t="n">
        <x:f>--AND(J103=1,G103=1)</x:f>
        <x:v>0</x:v>
      </x:c>
      <x:c r="L103" t="str">
        <x:f>A103&amp;"/"&amp;B103&amp;"/"&amp;C103</x:f>
        <x:v>7/6/7</x:v>
      </x:c>
      <x:c r="M103" t="str">
        <x:f>MIN(15,A103+'Calculator'!$B$6)&amp;"/"&amp;MIN(15,B103+'Calculator'!$B$6)&amp;"/"&amp;MIN(15,C103+'Calculator'!$B$6)</x:f>
        <x:v>9/8/9</x:v>
      </x:c>
    </x:row>
    <x:row r="104">
      <x:c r="A104" t="n">
        <x:v>7</x:v>
      </x:c>
      <x:c r="B104" t="n">
        <x:v>6</x:v>
      </x:c>
      <x:c r="C104" t="n">
        <x:v>8</x:v>
      </x:c>
      <x:c r="D104" t="n">
        <x:f>MAX(10,ROUNDDOWN((('Calculator'!$B$10+A104)*SQRT('Calculator'!$B$11+B104)*SQRT('Calculator'!$B$12+C104)*0.59740001^2)/10,0))</x:f>
        <x:v>2238</x:v>
      </x:c>
      <x:c r="E104" t="n">
        <x:f>MAX(10,ROUNDDOWN((('Calculator'!$B$10+A104)*SQRT('Calculator'!$B$11+B104)*SQRT('Calculator'!$B$12+C104)*0.667934^2)/10,0))</x:f>
        <x:v>2798</x:v>
      </x:c>
      <x:c r="F104" t="n">
        <x:f>--AND(A104&gt;='Calculator'!$B$5,B104&gt;='Calculator'!$B$5,C104&gt;='Calculator'!$B$5)</x:f>
        <x:v>1</x:v>
      </x:c>
      <x:c r="G104" t="n">
        <x:f>--AND(A104+'Calculator'!$B$6&gt;=15,B104+'Calculator'!$B$6&gt;=15,C104+'Calculator'!$B$6&gt;=15)</x:f>
        <x:v>0</x:v>
      </x:c>
      <x:c r="H104" t="n">
        <x:f>--AND(F104=1,D104='Calculator'!$B$4)</x:f>
        <x:v>0</x:v>
      </x:c>
      <x:c r="I104" t="n">
        <x:f>--AND(H104=1,G104=1)</x:f>
        <x:v>0</x:v>
      </x:c>
      <x:c r="J104" t="n">
        <x:f>--AND(F104=1,E104='Calculator'!$B$4)</x:f>
        <x:v>0</x:v>
      </x:c>
      <x:c r="K104" t="n">
        <x:f>--AND(J104=1,G104=1)</x:f>
        <x:v>0</x:v>
      </x:c>
      <x:c r="L104" t="str">
        <x:f>A104&amp;"/"&amp;B104&amp;"/"&amp;C104</x:f>
        <x:v>7/6/8</x:v>
      </x:c>
      <x:c r="M104" t="str">
        <x:f>MIN(15,A104+'Calculator'!$B$6)&amp;"/"&amp;MIN(15,B104+'Calculator'!$B$6)&amp;"/"&amp;MIN(15,C104+'Calculator'!$B$6)</x:f>
        <x:v>9/8/10</x:v>
      </x:c>
    </x:row>
    <x:row r="105">
      <x:c r="A105" t="n">
        <x:v>7</x:v>
      </x:c>
      <x:c r="B105" t="n">
        <x:v>6</x:v>
      </x:c>
      <x:c r="C105" t="n">
        <x:v>9</x:v>
      </x:c>
      <x:c r="D105" t="n">
        <x:f>MAX(10,ROUNDDOWN((('Calculator'!$B$10+A105)*SQRT('Calculator'!$B$11+B105)*SQRT('Calculator'!$B$12+C105)*0.59740001^2)/10,0))</x:f>
        <x:v>2243</x:v>
      </x:c>
      <x:c r="E105" t="n">
        <x:f>MAX(10,ROUNDDOWN((('Calculator'!$B$10+A105)*SQRT('Calculator'!$B$11+B105)*SQRT('Calculator'!$B$12+C105)*0.667934^2)/10,0))</x:f>
        <x:v>2804</x:v>
      </x:c>
      <x:c r="F105" t="n">
        <x:f>--AND(A105&gt;='Calculator'!$B$5,B105&gt;='Calculator'!$B$5,C105&gt;='Calculator'!$B$5)</x:f>
        <x:v>1</x:v>
      </x:c>
      <x:c r="G105" t="n">
        <x:f>--AND(A105+'Calculator'!$B$6&gt;=15,B105+'Calculator'!$B$6&gt;=15,C105+'Calculator'!$B$6&gt;=15)</x:f>
        <x:v>0</x:v>
      </x:c>
      <x:c r="H105" t="n">
        <x:f>--AND(F105=1,D105='Calculator'!$B$4)</x:f>
        <x:v>0</x:v>
      </x:c>
      <x:c r="I105" t="n">
        <x:f>--AND(H105=1,G105=1)</x:f>
        <x:v>0</x:v>
      </x:c>
      <x:c r="J105" t="n">
        <x:f>--AND(F105=1,E105='Calculator'!$B$4)</x:f>
        <x:v>0</x:v>
      </x:c>
      <x:c r="K105" t="n">
        <x:f>--AND(J105=1,G105=1)</x:f>
        <x:v>0</x:v>
      </x:c>
      <x:c r="L105" t="str">
        <x:f>A105&amp;"/"&amp;B105&amp;"/"&amp;C105</x:f>
        <x:v>7/6/9</x:v>
      </x:c>
      <x:c r="M105" t="str">
        <x:f>MIN(15,A105+'Calculator'!$B$6)&amp;"/"&amp;MIN(15,B105+'Calculator'!$B$6)&amp;"/"&amp;MIN(15,C105+'Calculator'!$B$6)</x:f>
        <x:v>9/8/11</x:v>
      </x:c>
    </x:row>
    <x:row r="106">
      <x:c r="A106" t="n">
        <x:v>7</x:v>
      </x:c>
      <x:c r="B106" t="n">
        <x:v>6</x:v>
      </x:c>
      <x:c r="C106" t="n">
        <x:v>10</x:v>
      </x:c>
      <x:c r="D106" t="n">
        <x:f>MAX(10,ROUNDDOWN((('Calculator'!$B$10+A106)*SQRT('Calculator'!$B$11+B106)*SQRT('Calculator'!$B$12+C106)*0.59740001^2)/10,0))</x:f>
        <x:v>2248</x:v>
      </x:c>
      <x:c r="E106" t="n">
        <x:f>MAX(10,ROUNDDOWN((('Calculator'!$B$10+A106)*SQRT('Calculator'!$B$11+B106)*SQRT('Calculator'!$B$12+C106)*0.667934^2)/10,0))</x:f>
        <x:v>2810</x:v>
      </x:c>
      <x:c r="F106" t="n">
        <x:f>--AND(A106&gt;='Calculator'!$B$5,B106&gt;='Calculator'!$B$5,C106&gt;='Calculator'!$B$5)</x:f>
        <x:v>1</x:v>
      </x:c>
      <x:c r="G106" t="n">
        <x:f>--AND(A106+'Calculator'!$B$6&gt;=15,B106+'Calculator'!$B$6&gt;=15,C106+'Calculator'!$B$6&gt;=15)</x:f>
        <x:v>0</x:v>
      </x:c>
      <x:c r="H106" t="n">
        <x:f>--AND(F106=1,D106='Calculator'!$B$4)</x:f>
        <x:v>0</x:v>
      </x:c>
      <x:c r="I106" t="n">
        <x:f>--AND(H106=1,G106=1)</x:f>
        <x:v>0</x:v>
      </x:c>
      <x:c r="J106" t="n">
        <x:f>--AND(F106=1,E106='Calculator'!$B$4)</x:f>
        <x:v>0</x:v>
      </x:c>
      <x:c r="K106" t="n">
        <x:f>--AND(J106=1,G106=1)</x:f>
        <x:v>0</x:v>
      </x:c>
      <x:c r="L106" t="str">
        <x:f>A106&amp;"/"&amp;B106&amp;"/"&amp;C106</x:f>
        <x:v>7/6/10</x:v>
      </x:c>
      <x:c r="M106" t="str">
        <x:f>MIN(15,A106+'Calculator'!$B$6)&amp;"/"&amp;MIN(15,B106+'Calculator'!$B$6)&amp;"/"&amp;MIN(15,C106+'Calculator'!$B$6)</x:f>
        <x:v>9/8/12</x:v>
      </x:c>
    </x:row>
    <x:row r="107">
      <x:c r="A107" t="n">
        <x:v>7</x:v>
      </x:c>
      <x:c r="B107" t="n">
        <x:v>6</x:v>
      </x:c>
      <x:c r="C107" t="n">
        <x:v>11</x:v>
      </x:c>
      <x:c r="D107" t="n">
        <x:f>MAX(10,ROUNDDOWN((('Calculator'!$B$10+A107)*SQRT('Calculator'!$B$11+B107)*SQRT('Calculator'!$B$12+C107)*0.59740001^2)/10,0))</x:f>
        <x:v>2253</x:v>
      </x:c>
      <x:c r="E107" t="n">
        <x:f>MAX(10,ROUNDDOWN((('Calculator'!$B$10+A107)*SQRT('Calculator'!$B$11+B107)*SQRT('Calculator'!$B$12+C107)*0.667934^2)/10,0))</x:f>
        <x:v>2816</x:v>
      </x:c>
      <x:c r="F107" t="n">
        <x:f>--AND(A107&gt;='Calculator'!$B$5,B107&gt;='Calculator'!$B$5,C107&gt;='Calculator'!$B$5)</x:f>
        <x:v>1</x:v>
      </x:c>
      <x:c r="G107" t="n">
        <x:f>--AND(A107+'Calculator'!$B$6&gt;=15,B107+'Calculator'!$B$6&gt;=15,C107+'Calculator'!$B$6&gt;=15)</x:f>
        <x:v>0</x:v>
      </x:c>
      <x:c r="H107" t="n">
        <x:f>--AND(F107=1,D107='Calculator'!$B$4)</x:f>
        <x:v>0</x:v>
      </x:c>
      <x:c r="I107" t="n">
        <x:f>--AND(H107=1,G107=1)</x:f>
        <x:v>0</x:v>
      </x:c>
      <x:c r="J107" t="n">
        <x:f>--AND(F107=1,E107='Calculator'!$B$4)</x:f>
        <x:v>0</x:v>
      </x:c>
      <x:c r="K107" t="n">
        <x:f>--AND(J107=1,G107=1)</x:f>
        <x:v>0</x:v>
      </x:c>
      <x:c r="L107" t="str">
        <x:f>A107&amp;"/"&amp;B107&amp;"/"&amp;C107</x:f>
        <x:v>7/6/11</x:v>
      </x:c>
      <x:c r="M107" t="str">
        <x:f>MIN(15,A107+'Calculator'!$B$6)&amp;"/"&amp;MIN(15,B107+'Calculator'!$B$6)&amp;"/"&amp;MIN(15,C107+'Calculator'!$B$6)</x:f>
        <x:v>9/8/13</x:v>
      </x:c>
    </x:row>
    <x:row r="108">
      <x:c r="A108" t="n">
        <x:v>7</x:v>
      </x:c>
      <x:c r="B108" t="n">
        <x:v>6</x:v>
      </x:c>
      <x:c r="C108" t="n">
        <x:v>12</x:v>
      </x:c>
      <x:c r="D108" t="n">
        <x:f>MAX(10,ROUNDDOWN((('Calculator'!$B$10+A108)*SQRT('Calculator'!$B$11+B108)*SQRT('Calculator'!$B$12+C108)*0.59740001^2)/10,0))</x:f>
        <x:v>2258</x:v>
      </x:c>
      <x:c r="E108" t="n">
        <x:f>MAX(10,ROUNDDOWN((('Calculator'!$B$10+A108)*SQRT('Calculator'!$B$11+B108)*SQRT('Calculator'!$B$12+C108)*0.667934^2)/10,0))</x:f>
        <x:v>2823</x:v>
      </x:c>
      <x:c r="F108" t="n">
        <x:f>--AND(A108&gt;='Calculator'!$B$5,B108&gt;='Calculator'!$B$5,C108&gt;='Calculator'!$B$5)</x:f>
        <x:v>1</x:v>
      </x:c>
      <x:c r="G108" t="n">
        <x:f>--AND(A108+'Calculator'!$B$6&gt;=15,B108+'Calculator'!$B$6&gt;=15,C108+'Calculator'!$B$6&gt;=15)</x:f>
        <x:v>0</x:v>
      </x:c>
      <x:c r="H108" t="n">
        <x:f>--AND(F108=1,D108='Calculator'!$B$4)</x:f>
        <x:v>0</x:v>
      </x:c>
      <x:c r="I108" t="n">
        <x:f>--AND(H108=1,G108=1)</x:f>
        <x:v>0</x:v>
      </x:c>
      <x:c r="J108" t="n">
        <x:f>--AND(F108=1,E108='Calculator'!$B$4)</x:f>
        <x:v>0</x:v>
      </x:c>
      <x:c r="K108" t="n">
        <x:f>--AND(J108=1,G108=1)</x:f>
        <x:v>0</x:v>
      </x:c>
      <x:c r="L108" t="str">
        <x:f>A108&amp;"/"&amp;B108&amp;"/"&amp;C108</x:f>
        <x:v>7/6/12</x:v>
      </x:c>
      <x:c r="M108" t="str">
        <x:f>MIN(15,A108+'Calculator'!$B$6)&amp;"/"&amp;MIN(15,B108+'Calculator'!$B$6)&amp;"/"&amp;MIN(15,C108+'Calculator'!$B$6)</x:f>
        <x:v>9/8/14</x:v>
      </x:c>
    </x:row>
    <x:row r="109">
      <x:c r="A109" t="n">
        <x:v>7</x:v>
      </x:c>
      <x:c r="B109" t="n">
        <x:v>6</x:v>
      </x:c>
      <x:c r="C109" t="n">
        <x:v>13</x:v>
      </x:c>
      <x:c r="D109" t="n">
        <x:f>MAX(10,ROUNDDOWN((('Calculator'!$B$10+A109)*SQRT('Calculator'!$B$11+B109)*SQRT('Calculator'!$B$12+C109)*0.59740001^2)/10,0))</x:f>
        <x:v>2263</x:v>
      </x:c>
      <x:c r="E109" t="n">
        <x:f>MAX(10,ROUNDDOWN((('Calculator'!$B$10+A109)*SQRT('Calculator'!$B$11+B109)*SQRT('Calculator'!$B$12+C109)*0.667934^2)/10,0))</x:f>
        <x:v>2829</x:v>
      </x:c>
      <x:c r="F109" t="n">
        <x:f>--AND(A109&gt;='Calculator'!$B$5,B109&gt;='Calculator'!$B$5,C109&gt;='Calculator'!$B$5)</x:f>
        <x:v>1</x:v>
      </x:c>
      <x:c r="G109" t="n">
        <x:f>--AND(A109+'Calculator'!$B$6&gt;=15,B109+'Calculator'!$B$6&gt;=15,C109+'Calculator'!$B$6&gt;=15)</x:f>
        <x:v>0</x:v>
      </x:c>
      <x:c r="H109" t="n">
        <x:f>--AND(F109=1,D109='Calculator'!$B$4)</x:f>
        <x:v>0</x:v>
      </x:c>
      <x:c r="I109" t="n">
        <x:f>--AND(H109=1,G109=1)</x:f>
        <x:v>0</x:v>
      </x:c>
      <x:c r="J109" t="n">
        <x:f>--AND(F109=1,E109='Calculator'!$B$4)</x:f>
        <x:v>0</x:v>
      </x:c>
      <x:c r="K109" t="n">
        <x:f>--AND(J109=1,G109=1)</x:f>
        <x:v>0</x:v>
      </x:c>
      <x:c r="L109" t="str">
        <x:f>A109&amp;"/"&amp;B109&amp;"/"&amp;C109</x:f>
        <x:v>7/6/13</x:v>
      </x:c>
      <x:c r="M109" t="str">
        <x:f>MIN(15,A109+'Calculator'!$B$6)&amp;"/"&amp;MIN(15,B109+'Calculator'!$B$6)&amp;"/"&amp;MIN(15,C109+'Calculator'!$B$6)</x:f>
        <x:v>9/8/15</x:v>
      </x:c>
    </x:row>
    <x:row r="110">
      <x:c r="A110" t="n">
        <x:v>7</x:v>
      </x:c>
      <x:c r="B110" t="n">
        <x:v>6</x:v>
      </x:c>
      <x:c r="C110" t="n">
        <x:v>14</x:v>
      </x:c>
      <x:c r="D110" t="n">
        <x:f>MAX(10,ROUNDDOWN((('Calculator'!$B$10+A110)*SQRT('Calculator'!$B$11+B110)*SQRT('Calculator'!$B$12+C110)*0.59740001^2)/10,0))</x:f>
        <x:v>2268</x:v>
      </x:c>
      <x:c r="E110" t="n">
        <x:f>MAX(10,ROUNDDOWN((('Calculator'!$B$10+A110)*SQRT('Calculator'!$B$11+B110)*SQRT('Calculator'!$B$12+C110)*0.667934^2)/10,0))</x:f>
        <x:v>2835</x:v>
      </x:c>
      <x:c r="F110" t="n">
        <x:f>--AND(A110&gt;='Calculator'!$B$5,B110&gt;='Calculator'!$B$5,C110&gt;='Calculator'!$B$5)</x:f>
        <x:v>1</x:v>
      </x:c>
      <x:c r="G110" t="n">
        <x:f>--AND(A110+'Calculator'!$B$6&gt;=15,B110+'Calculator'!$B$6&gt;=15,C110+'Calculator'!$B$6&gt;=15)</x:f>
        <x:v>0</x:v>
      </x:c>
      <x:c r="H110" t="n">
        <x:f>--AND(F110=1,D110='Calculator'!$B$4)</x:f>
        <x:v>0</x:v>
      </x:c>
      <x:c r="I110" t="n">
        <x:f>--AND(H110=1,G110=1)</x:f>
        <x:v>0</x:v>
      </x:c>
      <x:c r="J110" t="n">
        <x:f>--AND(F110=1,E110='Calculator'!$B$4)</x:f>
        <x:v>0</x:v>
      </x:c>
      <x:c r="K110" t="n">
        <x:f>--AND(J110=1,G110=1)</x:f>
        <x:v>0</x:v>
      </x:c>
      <x:c r="L110" t="str">
        <x:f>A110&amp;"/"&amp;B110&amp;"/"&amp;C110</x:f>
        <x:v>7/6/14</x:v>
      </x:c>
      <x:c r="M110" t="str">
        <x:f>MIN(15,A110+'Calculator'!$B$6)&amp;"/"&amp;MIN(15,B110+'Calculator'!$B$6)&amp;"/"&amp;MIN(15,C110+'Calculator'!$B$6)</x:f>
        <x:v>9/8/15</x:v>
      </x:c>
    </x:row>
    <x:row r="111">
      <x:c r="A111" t="n">
        <x:v>7</x:v>
      </x:c>
      <x:c r="B111" t="n">
        <x:v>6</x:v>
      </x:c>
      <x:c r="C111" t="n">
        <x:v>15</x:v>
      </x:c>
      <x:c r="D111" t="n">
        <x:f>MAX(10,ROUNDDOWN((('Calculator'!$B$10+A111)*SQRT('Calculator'!$B$11+B111)*SQRT('Calculator'!$B$12+C111)*0.59740001^2)/10,0))</x:f>
        <x:v>2273</x:v>
      </x:c>
      <x:c r="E111" t="n">
        <x:f>MAX(10,ROUNDDOWN((('Calculator'!$B$10+A111)*SQRT('Calculator'!$B$11+B111)*SQRT('Calculator'!$B$12+C111)*0.667934^2)/10,0))</x:f>
        <x:v>2841</x:v>
      </x:c>
      <x:c r="F111" t="n">
        <x:f>--AND(A111&gt;='Calculator'!$B$5,B111&gt;='Calculator'!$B$5,C111&gt;='Calculator'!$B$5)</x:f>
        <x:v>1</x:v>
      </x:c>
      <x:c r="G111" t="n">
        <x:f>--AND(A111+'Calculator'!$B$6&gt;=15,B111+'Calculator'!$B$6&gt;=15,C111+'Calculator'!$B$6&gt;=15)</x:f>
        <x:v>0</x:v>
      </x:c>
      <x:c r="H111" t="n">
        <x:f>--AND(F111=1,D111='Calculator'!$B$4)</x:f>
        <x:v>0</x:v>
      </x:c>
      <x:c r="I111" t="n">
        <x:f>--AND(H111=1,G111=1)</x:f>
        <x:v>0</x:v>
      </x:c>
      <x:c r="J111" t="n">
        <x:f>--AND(F111=1,E111='Calculator'!$B$4)</x:f>
        <x:v>0</x:v>
      </x:c>
      <x:c r="K111" t="n">
        <x:f>--AND(J111=1,G111=1)</x:f>
        <x:v>0</x:v>
      </x:c>
      <x:c r="L111" t="str">
        <x:f>A111&amp;"/"&amp;B111&amp;"/"&amp;C111</x:f>
        <x:v>7/6/15</x:v>
      </x:c>
      <x:c r="M111" t="str">
        <x:f>MIN(15,A111+'Calculator'!$B$6)&amp;"/"&amp;MIN(15,B111+'Calculator'!$B$6)&amp;"/"&amp;MIN(15,C111+'Calculator'!$B$6)</x:f>
        <x:v>9/8/15</x:v>
      </x:c>
    </x:row>
    <x:row r="112">
      <x:c r="A112" t="n">
        <x:v>7</x:v>
      </x:c>
      <x:c r="B112" t="n">
        <x:v>7</x:v>
      </x:c>
      <x:c r="C112" t="n">
        <x:v>6</x:v>
      </x:c>
      <x:c r="D112" t="n">
        <x:f>MAX(10,ROUNDDOWN((('Calculator'!$B$10+A112)*SQRT('Calculator'!$B$11+B112)*SQRT('Calculator'!$B$12+C112)*0.59740001^2)/10,0))</x:f>
        <x:v>2234</x:v>
      </x:c>
      <x:c r="E112" t="n">
        <x:f>MAX(10,ROUNDDOWN((('Calculator'!$B$10+A112)*SQRT('Calculator'!$B$11+B112)*SQRT('Calculator'!$B$12+C112)*0.667934^2)/10,0))</x:f>
        <x:v>2792</x:v>
      </x:c>
      <x:c r="F112" t="n">
        <x:f>--AND(A112&gt;='Calculator'!$B$5,B112&gt;='Calculator'!$B$5,C112&gt;='Calculator'!$B$5)</x:f>
        <x:v>1</x:v>
      </x:c>
      <x:c r="G112" t="n">
        <x:f>--AND(A112+'Calculator'!$B$6&gt;=15,B112+'Calculator'!$B$6&gt;=15,C112+'Calculator'!$B$6&gt;=15)</x:f>
        <x:v>0</x:v>
      </x:c>
      <x:c r="H112" t="n">
        <x:f>--AND(F112=1,D112='Calculator'!$B$4)</x:f>
        <x:v>0</x:v>
      </x:c>
      <x:c r="I112" t="n">
        <x:f>--AND(H112=1,G112=1)</x:f>
        <x:v>0</x:v>
      </x:c>
      <x:c r="J112" t="n">
        <x:f>--AND(F112=1,E112='Calculator'!$B$4)</x:f>
        <x:v>0</x:v>
      </x:c>
      <x:c r="K112" t="n">
        <x:f>--AND(J112=1,G112=1)</x:f>
        <x:v>0</x:v>
      </x:c>
      <x:c r="L112" t="str">
        <x:f>A112&amp;"/"&amp;B112&amp;"/"&amp;C112</x:f>
        <x:v>7/7/6</x:v>
      </x:c>
      <x:c r="M112" t="str">
        <x:f>MIN(15,A112+'Calculator'!$B$6)&amp;"/"&amp;MIN(15,B112+'Calculator'!$B$6)&amp;"/"&amp;MIN(15,C112+'Calculator'!$B$6)</x:f>
        <x:v>9/9/8</x:v>
      </x:c>
    </x:row>
    <x:row r="113">
      <x:c r="A113" t="n">
        <x:v>7</x:v>
      </x:c>
      <x:c r="B113" t="n">
        <x:v>7</x:v>
      </x:c>
      <x:c r="C113" t="n">
        <x:v>7</x:v>
      </x:c>
      <x:c r="D113" t="n">
        <x:f>MAX(10,ROUNDDOWN((('Calculator'!$B$10+A113)*SQRT('Calculator'!$B$11+B113)*SQRT('Calculator'!$B$12+C113)*0.59740001^2)/10,0))</x:f>
        <x:v>2239</x:v>
      </x:c>
      <x:c r="E113" t="n">
        <x:f>MAX(10,ROUNDDOWN((('Calculator'!$B$10+A113)*SQRT('Calculator'!$B$11+B113)*SQRT('Calculator'!$B$12+C113)*0.667934^2)/10,0))</x:f>
        <x:v>2799</x:v>
      </x:c>
      <x:c r="F113" t="n">
        <x:f>--AND(A113&gt;='Calculator'!$B$5,B113&gt;='Calculator'!$B$5,C113&gt;='Calculator'!$B$5)</x:f>
        <x:v>1</x:v>
      </x:c>
      <x:c r="G113" t="n">
        <x:f>--AND(A113+'Calculator'!$B$6&gt;=15,B113+'Calculator'!$B$6&gt;=15,C113+'Calculator'!$B$6&gt;=15)</x:f>
        <x:v>0</x:v>
      </x:c>
      <x:c r="H113" t="n">
        <x:f>--AND(F113=1,D113='Calculator'!$B$4)</x:f>
        <x:v>0</x:v>
      </x:c>
      <x:c r="I113" t="n">
        <x:f>--AND(H113=1,G113=1)</x:f>
        <x:v>0</x:v>
      </x:c>
      <x:c r="J113" t="n">
        <x:f>--AND(F113=1,E113='Calculator'!$B$4)</x:f>
        <x:v>0</x:v>
      </x:c>
      <x:c r="K113" t="n">
        <x:f>--AND(J113=1,G113=1)</x:f>
        <x:v>0</x:v>
      </x:c>
      <x:c r="L113" t="str">
        <x:f>A113&amp;"/"&amp;B113&amp;"/"&amp;C113</x:f>
        <x:v>7/7/7</x:v>
      </x:c>
      <x:c r="M113" t="str">
        <x:f>MIN(15,A113+'Calculator'!$B$6)&amp;"/"&amp;MIN(15,B113+'Calculator'!$B$6)&amp;"/"&amp;MIN(15,C113+'Calculator'!$B$6)</x:f>
        <x:v>9/9/9</x:v>
      </x:c>
    </x:row>
    <x:row r="114">
      <x:c r="A114" t="n">
        <x:v>7</x:v>
      </x:c>
      <x:c r="B114" t="n">
        <x:v>7</x:v>
      </x:c>
      <x:c r="C114" t="n">
        <x:v>8</x:v>
      </x:c>
      <x:c r="D114" t="n">
        <x:f>MAX(10,ROUNDDOWN((('Calculator'!$B$10+A114)*SQRT('Calculator'!$B$11+B114)*SQRT('Calculator'!$B$12+C114)*0.59740001^2)/10,0))</x:f>
        <x:v>2244</x:v>
      </x:c>
      <x:c r="E114" t="n">
        <x:f>MAX(10,ROUNDDOWN((('Calculator'!$B$10+A114)*SQRT('Calculator'!$B$11+B114)*SQRT('Calculator'!$B$12+C114)*0.667934^2)/10,0))</x:f>
        <x:v>2805</x:v>
      </x:c>
      <x:c r="F114" t="n">
        <x:f>--AND(A114&gt;='Calculator'!$B$5,B114&gt;='Calculator'!$B$5,C114&gt;='Calculator'!$B$5)</x:f>
        <x:v>1</x:v>
      </x:c>
      <x:c r="G114" t="n">
        <x:f>--AND(A114+'Calculator'!$B$6&gt;=15,B114+'Calculator'!$B$6&gt;=15,C114+'Calculator'!$B$6&gt;=15)</x:f>
        <x:v>0</x:v>
      </x:c>
      <x:c r="H114" t="n">
        <x:f>--AND(F114=1,D114='Calculator'!$B$4)</x:f>
        <x:v>0</x:v>
      </x:c>
      <x:c r="I114" t="n">
        <x:f>--AND(H114=1,G114=1)</x:f>
        <x:v>0</x:v>
      </x:c>
      <x:c r="J114" t="n">
        <x:f>--AND(F114=1,E114='Calculator'!$B$4)</x:f>
        <x:v>0</x:v>
      </x:c>
      <x:c r="K114" t="n">
        <x:f>--AND(J114=1,G114=1)</x:f>
        <x:v>0</x:v>
      </x:c>
      <x:c r="L114" t="str">
        <x:f>A114&amp;"/"&amp;B114&amp;"/"&amp;C114</x:f>
        <x:v>7/7/8</x:v>
      </x:c>
      <x:c r="M114" t="str">
        <x:f>MIN(15,A114+'Calculator'!$B$6)&amp;"/"&amp;MIN(15,B114+'Calculator'!$B$6)&amp;"/"&amp;MIN(15,C114+'Calculator'!$B$6)</x:f>
        <x:v>9/9/10</x:v>
      </x:c>
    </x:row>
    <x:row r="115">
      <x:c r="A115" t="n">
        <x:v>7</x:v>
      </x:c>
      <x:c r="B115" t="n">
        <x:v>7</x:v>
      </x:c>
      <x:c r="C115" t="n">
        <x:v>9</x:v>
      </x:c>
      <x:c r="D115" t="n">
        <x:f>MAX(10,ROUNDDOWN((('Calculator'!$B$10+A115)*SQRT('Calculator'!$B$11+B115)*SQRT('Calculator'!$B$12+C115)*0.59740001^2)/10,0))</x:f>
        <x:v>2249</x:v>
      </x:c>
      <x:c r="E115" t="n">
        <x:f>MAX(10,ROUNDDOWN((('Calculator'!$B$10+A115)*SQRT('Calculator'!$B$11+B115)*SQRT('Calculator'!$B$12+C115)*0.667934^2)/10,0))</x:f>
        <x:v>2811</x:v>
      </x:c>
      <x:c r="F115" t="n">
        <x:f>--AND(A115&gt;='Calculator'!$B$5,B115&gt;='Calculator'!$B$5,C115&gt;='Calculator'!$B$5)</x:f>
        <x:v>1</x:v>
      </x:c>
      <x:c r="G115" t="n">
        <x:f>--AND(A115+'Calculator'!$B$6&gt;=15,B115+'Calculator'!$B$6&gt;=15,C115+'Calculator'!$B$6&gt;=15)</x:f>
        <x:v>0</x:v>
      </x:c>
      <x:c r="H115" t="n">
        <x:f>--AND(F115=1,D115='Calculator'!$B$4)</x:f>
        <x:v>0</x:v>
      </x:c>
      <x:c r="I115" t="n">
        <x:f>--AND(H115=1,G115=1)</x:f>
        <x:v>0</x:v>
      </x:c>
      <x:c r="J115" t="n">
        <x:f>--AND(F115=1,E115='Calculator'!$B$4)</x:f>
        <x:v>0</x:v>
      </x:c>
      <x:c r="K115" t="n">
        <x:f>--AND(J115=1,G115=1)</x:f>
        <x:v>0</x:v>
      </x:c>
      <x:c r="L115" t="str">
        <x:f>A115&amp;"/"&amp;B115&amp;"/"&amp;C115</x:f>
        <x:v>7/7/9</x:v>
      </x:c>
      <x:c r="M115" t="str">
        <x:f>MIN(15,A115+'Calculator'!$B$6)&amp;"/"&amp;MIN(15,B115+'Calculator'!$B$6)&amp;"/"&amp;MIN(15,C115+'Calculator'!$B$6)</x:f>
        <x:v>9/9/11</x:v>
      </x:c>
    </x:row>
    <x:row r="116">
      <x:c r="A116" t="n">
        <x:v>7</x:v>
      </x:c>
      <x:c r="B116" t="n">
        <x:v>7</x:v>
      </x:c>
      <x:c r="C116" t="n">
        <x:v>10</x:v>
      </x:c>
      <x:c r="D116" t="n">
        <x:f>MAX(10,ROUNDDOWN((('Calculator'!$B$10+A116)*SQRT('Calculator'!$B$11+B116)*SQRT('Calculator'!$B$12+C116)*0.59740001^2)/10,0))</x:f>
        <x:v>2254</x:v>
      </x:c>
      <x:c r="E116" t="n">
        <x:f>MAX(10,ROUNDDOWN((('Calculator'!$B$10+A116)*SQRT('Calculator'!$B$11+B116)*SQRT('Calculator'!$B$12+C116)*0.667934^2)/10,0))</x:f>
        <x:v>2818</x:v>
      </x:c>
      <x:c r="F116" t="n">
        <x:f>--AND(A116&gt;='Calculator'!$B$5,B116&gt;='Calculator'!$B$5,C116&gt;='Calculator'!$B$5)</x:f>
        <x:v>1</x:v>
      </x:c>
      <x:c r="G116" t="n">
        <x:f>--AND(A116+'Calculator'!$B$6&gt;=15,B116+'Calculator'!$B$6&gt;=15,C116+'Calculator'!$B$6&gt;=15)</x:f>
        <x:v>0</x:v>
      </x:c>
      <x:c r="H116" t="n">
        <x:f>--AND(F116=1,D116='Calculator'!$B$4)</x:f>
        <x:v>0</x:v>
      </x:c>
      <x:c r="I116" t="n">
        <x:f>--AND(H116=1,G116=1)</x:f>
        <x:v>0</x:v>
      </x:c>
      <x:c r="J116" t="n">
        <x:f>--AND(F116=1,E116='Calculator'!$B$4)</x:f>
        <x:v>0</x:v>
      </x:c>
      <x:c r="K116" t="n">
        <x:f>--AND(J116=1,G116=1)</x:f>
        <x:v>0</x:v>
      </x:c>
      <x:c r="L116" t="str">
        <x:f>A116&amp;"/"&amp;B116&amp;"/"&amp;C116</x:f>
        <x:v>7/7/10</x:v>
      </x:c>
      <x:c r="M116" t="str">
        <x:f>MIN(15,A116+'Calculator'!$B$6)&amp;"/"&amp;MIN(15,B116+'Calculator'!$B$6)&amp;"/"&amp;MIN(15,C116+'Calculator'!$B$6)</x:f>
        <x:v>9/9/12</x:v>
      </x:c>
    </x:row>
    <x:row r="117">
      <x:c r="A117" t="n">
        <x:v>7</x:v>
      </x:c>
      <x:c r="B117" t="n">
        <x:v>7</x:v>
      </x:c>
      <x:c r="C117" t="n">
        <x:v>11</x:v>
      </x:c>
      <x:c r="D117" t="n">
        <x:f>MAX(10,ROUNDDOWN((('Calculator'!$B$10+A117)*SQRT('Calculator'!$B$11+B117)*SQRT('Calculator'!$B$12+C117)*0.59740001^2)/10,0))</x:f>
        <x:v>2259</x:v>
      </x:c>
      <x:c r="E117" t="n">
        <x:f>MAX(10,ROUNDDOWN((('Calculator'!$B$10+A117)*SQRT('Calculator'!$B$11+B117)*SQRT('Calculator'!$B$12+C117)*0.667934^2)/10,0))</x:f>
        <x:v>2824</x:v>
      </x:c>
      <x:c r="F117" t="n">
        <x:f>--AND(A117&gt;='Calculator'!$B$5,B117&gt;='Calculator'!$B$5,C117&gt;='Calculator'!$B$5)</x:f>
        <x:v>1</x:v>
      </x:c>
      <x:c r="G117" t="n">
        <x:f>--AND(A117+'Calculator'!$B$6&gt;=15,B117+'Calculator'!$B$6&gt;=15,C117+'Calculator'!$B$6&gt;=15)</x:f>
        <x:v>0</x:v>
      </x:c>
      <x:c r="H117" t="n">
        <x:f>--AND(F117=1,D117='Calculator'!$B$4)</x:f>
        <x:v>0</x:v>
      </x:c>
      <x:c r="I117" t="n">
        <x:f>--AND(H117=1,G117=1)</x:f>
        <x:v>0</x:v>
      </x:c>
      <x:c r="J117" t="n">
        <x:f>--AND(F117=1,E117='Calculator'!$B$4)</x:f>
        <x:v>0</x:v>
      </x:c>
      <x:c r="K117" t="n">
        <x:f>--AND(J117=1,G117=1)</x:f>
        <x:v>0</x:v>
      </x:c>
      <x:c r="L117" t="str">
        <x:f>A117&amp;"/"&amp;B117&amp;"/"&amp;C117</x:f>
        <x:v>7/7/11</x:v>
      </x:c>
      <x:c r="M117" t="str">
        <x:f>MIN(15,A117+'Calculator'!$B$6)&amp;"/"&amp;MIN(15,B117+'Calculator'!$B$6)&amp;"/"&amp;MIN(15,C117+'Calculator'!$B$6)</x:f>
        <x:v>9/9/13</x:v>
      </x:c>
    </x:row>
    <x:row r="118">
      <x:c r="A118" t="n">
        <x:v>7</x:v>
      </x:c>
      <x:c r="B118" t="n">
        <x:v>7</x:v>
      </x:c>
      <x:c r="C118" t="n">
        <x:v>12</x:v>
      </x:c>
      <x:c r="D118" t="n">
        <x:f>MAX(10,ROUNDDOWN((('Calculator'!$B$10+A118)*SQRT('Calculator'!$B$11+B118)*SQRT('Calculator'!$B$12+C118)*0.59740001^2)/10,0))</x:f>
        <x:v>2264</x:v>
      </x:c>
      <x:c r="E118" t="n">
        <x:f>MAX(10,ROUNDDOWN((('Calculator'!$B$10+A118)*SQRT('Calculator'!$B$11+B118)*SQRT('Calculator'!$B$12+C118)*0.667934^2)/10,0))</x:f>
        <x:v>2830</x:v>
      </x:c>
      <x:c r="F118" t="n">
        <x:f>--AND(A118&gt;='Calculator'!$B$5,B118&gt;='Calculator'!$B$5,C118&gt;='Calculator'!$B$5)</x:f>
        <x:v>1</x:v>
      </x:c>
      <x:c r="G118" t="n">
        <x:f>--AND(A118+'Calculator'!$B$6&gt;=15,B118+'Calculator'!$B$6&gt;=15,C118+'Calculator'!$B$6&gt;=15)</x:f>
        <x:v>0</x:v>
      </x:c>
      <x:c r="H118" t="n">
        <x:f>--AND(F118=1,D118='Calculator'!$B$4)</x:f>
        <x:v>0</x:v>
      </x:c>
      <x:c r="I118" t="n">
        <x:f>--AND(H118=1,G118=1)</x:f>
        <x:v>0</x:v>
      </x:c>
      <x:c r="J118" t="n">
        <x:f>--AND(F118=1,E118='Calculator'!$B$4)</x:f>
        <x:v>0</x:v>
      </x:c>
      <x:c r="K118" t="n">
        <x:f>--AND(J118=1,G118=1)</x:f>
        <x:v>0</x:v>
      </x:c>
      <x:c r="L118" t="str">
        <x:f>A118&amp;"/"&amp;B118&amp;"/"&amp;C118</x:f>
        <x:v>7/7/12</x:v>
      </x:c>
      <x:c r="M118" t="str">
        <x:f>MIN(15,A118+'Calculator'!$B$6)&amp;"/"&amp;MIN(15,B118+'Calculator'!$B$6)&amp;"/"&amp;MIN(15,C118+'Calculator'!$B$6)</x:f>
        <x:v>9/9/14</x:v>
      </x:c>
    </x:row>
    <x:row r="119">
      <x:c r="A119" t="n">
        <x:v>7</x:v>
      </x:c>
      <x:c r="B119" t="n">
        <x:v>7</x:v>
      </x:c>
      <x:c r="C119" t="n">
        <x:v>13</x:v>
      </x:c>
      <x:c r="D119" t="n">
        <x:f>MAX(10,ROUNDDOWN((('Calculator'!$B$10+A119)*SQRT('Calculator'!$B$11+B119)*SQRT('Calculator'!$B$12+C119)*0.59740001^2)/10,0))</x:f>
        <x:v>2269</x:v>
      </x:c>
      <x:c r="E119" t="n">
        <x:f>MAX(10,ROUNDDOWN((('Calculator'!$B$10+A119)*SQRT('Calculator'!$B$11+B119)*SQRT('Calculator'!$B$12+C119)*0.667934^2)/10,0))</x:f>
        <x:v>2836</x:v>
      </x:c>
      <x:c r="F119" t="n">
        <x:f>--AND(A119&gt;='Calculator'!$B$5,B119&gt;='Calculator'!$B$5,C119&gt;='Calculator'!$B$5)</x:f>
        <x:v>1</x:v>
      </x:c>
      <x:c r="G119" t="n">
        <x:f>--AND(A119+'Calculator'!$B$6&gt;=15,B119+'Calculator'!$B$6&gt;=15,C119+'Calculator'!$B$6&gt;=15)</x:f>
        <x:v>0</x:v>
      </x:c>
      <x:c r="H119" t="n">
        <x:f>--AND(F119=1,D119='Calculator'!$B$4)</x:f>
        <x:v>0</x:v>
      </x:c>
      <x:c r="I119" t="n">
        <x:f>--AND(H119=1,G119=1)</x:f>
        <x:v>0</x:v>
      </x:c>
      <x:c r="J119" t="n">
        <x:f>--AND(F119=1,E119='Calculator'!$B$4)</x:f>
        <x:v>0</x:v>
      </x:c>
      <x:c r="K119" t="n">
        <x:f>--AND(J119=1,G119=1)</x:f>
        <x:v>0</x:v>
      </x:c>
      <x:c r="L119" t="str">
        <x:f>A119&amp;"/"&amp;B119&amp;"/"&amp;C119</x:f>
        <x:v>7/7/13</x:v>
      </x:c>
      <x:c r="M119" t="str">
        <x:f>MIN(15,A119+'Calculator'!$B$6)&amp;"/"&amp;MIN(15,B119+'Calculator'!$B$6)&amp;"/"&amp;MIN(15,C119+'Calculator'!$B$6)</x:f>
        <x:v>9/9/15</x:v>
      </x:c>
    </x:row>
    <x:row r="120">
      <x:c r="A120" t="n">
        <x:v>7</x:v>
      </x:c>
      <x:c r="B120" t="n">
        <x:v>7</x:v>
      </x:c>
      <x:c r="C120" t="n">
        <x:v>14</x:v>
      </x:c>
      <x:c r="D120" t="n">
        <x:f>MAX(10,ROUNDDOWN((('Calculator'!$B$10+A120)*SQRT('Calculator'!$B$11+B120)*SQRT('Calculator'!$B$12+C120)*0.59740001^2)/10,0))</x:f>
        <x:v>2274</x:v>
      </x:c>
      <x:c r="E120" t="n">
        <x:f>MAX(10,ROUNDDOWN((('Calculator'!$B$10+A120)*SQRT('Calculator'!$B$11+B120)*SQRT('Calculator'!$B$12+C120)*0.667934^2)/10,0))</x:f>
        <x:v>2843</x:v>
      </x:c>
      <x:c r="F120" t="n">
        <x:f>--AND(A120&gt;='Calculator'!$B$5,B120&gt;='Calculator'!$B$5,C120&gt;='Calculator'!$B$5)</x:f>
        <x:v>1</x:v>
      </x:c>
      <x:c r="G120" t="n">
        <x:f>--AND(A120+'Calculator'!$B$6&gt;=15,B120+'Calculator'!$B$6&gt;=15,C120+'Calculator'!$B$6&gt;=15)</x:f>
        <x:v>0</x:v>
      </x:c>
      <x:c r="H120" t="n">
        <x:f>--AND(F120=1,D120='Calculator'!$B$4)</x:f>
        <x:v>0</x:v>
      </x:c>
      <x:c r="I120" t="n">
        <x:f>--AND(H120=1,G120=1)</x:f>
        <x:v>0</x:v>
      </x:c>
      <x:c r="J120" t="n">
        <x:f>--AND(F120=1,E120='Calculator'!$B$4)</x:f>
        <x:v>0</x:v>
      </x:c>
      <x:c r="K120" t="n">
        <x:f>--AND(J120=1,G120=1)</x:f>
        <x:v>0</x:v>
      </x:c>
      <x:c r="L120" t="str">
        <x:f>A120&amp;"/"&amp;B120&amp;"/"&amp;C120</x:f>
        <x:v>7/7/14</x:v>
      </x:c>
      <x:c r="M120" t="str">
        <x:f>MIN(15,A120+'Calculator'!$B$6)&amp;"/"&amp;MIN(15,B120+'Calculator'!$B$6)&amp;"/"&amp;MIN(15,C120+'Calculator'!$B$6)</x:f>
        <x:v>9/9/15</x:v>
      </x:c>
    </x:row>
    <x:row r="121">
      <x:c r="A121" t="n">
        <x:v>7</x:v>
      </x:c>
      <x:c r="B121" t="n">
        <x:v>7</x:v>
      </x:c>
      <x:c r="C121" t="n">
        <x:v>15</x:v>
      </x:c>
      <x:c r="D121" t="n">
        <x:f>MAX(10,ROUNDDOWN((('Calculator'!$B$10+A121)*SQRT('Calculator'!$B$11+B121)*SQRT('Calculator'!$B$12+C121)*0.59740001^2)/10,0))</x:f>
        <x:v>2279</x:v>
      </x:c>
      <x:c r="E121" t="n">
        <x:f>MAX(10,ROUNDDOWN((('Calculator'!$B$10+A121)*SQRT('Calculator'!$B$11+B121)*SQRT('Calculator'!$B$12+C121)*0.667934^2)/10,0))</x:f>
        <x:v>2849</x:v>
      </x:c>
      <x:c r="F121" t="n">
        <x:f>--AND(A121&gt;='Calculator'!$B$5,B121&gt;='Calculator'!$B$5,C121&gt;='Calculator'!$B$5)</x:f>
        <x:v>1</x:v>
      </x:c>
      <x:c r="G121" t="n">
        <x:f>--AND(A121+'Calculator'!$B$6&gt;=15,B121+'Calculator'!$B$6&gt;=15,C121+'Calculator'!$B$6&gt;=15)</x:f>
        <x:v>0</x:v>
      </x:c>
      <x:c r="H121" t="n">
        <x:f>--AND(F121=1,D121='Calculator'!$B$4)</x:f>
        <x:v>0</x:v>
      </x:c>
      <x:c r="I121" t="n">
        <x:f>--AND(H121=1,G121=1)</x:f>
        <x:v>0</x:v>
      </x:c>
      <x:c r="J121" t="n">
        <x:f>--AND(F121=1,E121='Calculator'!$B$4)</x:f>
        <x:v>0</x:v>
      </x:c>
      <x:c r="K121" t="n">
        <x:f>--AND(J121=1,G121=1)</x:f>
        <x:v>0</x:v>
      </x:c>
      <x:c r="L121" t="str">
        <x:f>A121&amp;"/"&amp;B121&amp;"/"&amp;C121</x:f>
        <x:v>7/7/15</x:v>
      </x:c>
      <x:c r="M121" t="str">
        <x:f>MIN(15,A121+'Calculator'!$B$6)&amp;"/"&amp;MIN(15,B121+'Calculator'!$B$6)&amp;"/"&amp;MIN(15,C121+'Calculator'!$B$6)</x:f>
        <x:v>9/9/15</x:v>
      </x:c>
    </x:row>
    <x:row r="122">
      <x:c r="A122" t="n">
        <x:v>7</x:v>
      </x:c>
      <x:c r="B122" t="n">
        <x:v>8</x:v>
      </x:c>
      <x:c r="C122" t="n">
        <x:v>6</x:v>
      </x:c>
      <x:c r="D122" t="n">
        <x:f>MAX(10,ROUNDDOWN((('Calculator'!$B$10+A122)*SQRT('Calculator'!$B$11+B122)*SQRT('Calculator'!$B$12+C122)*0.59740001^2)/10,0))</x:f>
        <x:v>2240</x:v>
      </x:c>
      <x:c r="E122" t="n">
        <x:f>MAX(10,ROUNDDOWN((('Calculator'!$B$10+A122)*SQRT('Calculator'!$B$11+B122)*SQRT('Calculator'!$B$12+C122)*0.667934^2)/10,0))</x:f>
        <x:v>2800</x:v>
      </x:c>
      <x:c r="F122" t="n">
        <x:f>--AND(A122&gt;='Calculator'!$B$5,B122&gt;='Calculator'!$B$5,C122&gt;='Calculator'!$B$5)</x:f>
        <x:v>1</x:v>
      </x:c>
      <x:c r="G122" t="n">
        <x:f>--AND(A122+'Calculator'!$B$6&gt;=15,B122+'Calculator'!$B$6&gt;=15,C122+'Calculator'!$B$6&gt;=15)</x:f>
        <x:v>0</x:v>
      </x:c>
      <x:c r="H122" t="n">
        <x:f>--AND(F122=1,D122='Calculator'!$B$4)</x:f>
        <x:v>0</x:v>
      </x:c>
      <x:c r="I122" t="n">
        <x:f>--AND(H122=1,G122=1)</x:f>
        <x:v>0</x:v>
      </x:c>
      <x:c r="J122" t="n">
        <x:f>--AND(F122=1,E122='Calculator'!$B$4)</x:f>
        <x:v>0</x:v>
      </x:c>
      <x:c r="K122" t="n">
        <x:f>--AND(J122=1,G122=1)</x:f>
        <x:v>0</x:v>
      </x:c>
      <x:c r="L122" t="str">
        <x:f>A122&amp;"/"&amp;B122&amp;"/"&amp;C122</x:f>
        <x:v>7/8/6</x:v>
      </x:c>
      <x:c r="M122" t="str">
        <x:f>MIN(15,A122+'Calculator'!$B$6)&amp;"/"&amp;MIN(15,B122+'Calculator'!$B$6)&amp;"/"&amp;MIN(15,C122+'Calculator'!$B$6)</x:f>
        <x:v>9/10/8</x:v>
      </x:c>
    </x:row>
    <x:row r="123">
      <x:c r="A123" t="n">
        <x:v>7</x:v>
      </x:c>
      <x:c r="B123" t="n">
        <x:v>8</x:v>
      </x:c>
      <x:c r="C123" t="n">
        <x:v>7</x:v>
      </x:c>
      <x:c r="D123" t="n">
        <x:f>MAX(10,ROUNDDOWN((('Calculator'!$B$10+A123)*SQRT('Calculator'!$B$11+B123)*SQRT('Calculator'!$B$12+C123)*0.59740001^2)/10,0))</x:f>
        <x:v>2245</x:v>
      </x:c>
      <x:c r="E123" t="n">
        <x:f>MAX(10,ROUNDDOWN((('Calculator'!$B$10+A123)*SQRT('Calculator'!$B$11+B123)*SQRT('Calculator'!$B$12+C123)*0.667934^2)/10,0))</x:f>
        <x:v>2806</x:v>
      </x:c>
      <x:c r="F123" t="n">
        <x:f>--AND(A123&gt;='Calculator'!$B$5,B123&gt;='Calculator'!$B$5,C123&gt;='Calculator'!$B$5)</x:f>
        <x:v>1</x:v>
      </x:c>
      <x:c r="G123" t="n">
        <x:f>--AND(A123+'Calculator'!$B$6&gt;=15,B123+'Calculator'!$B$6&gt;=15,C123+'Calculator'!$B$6&gt;=15)</x:f>
        <x:v>0</x:v>
      </x:c>
      <x:c r="H123" t="n">
        <x:f>--AND(F123=1,D123='Calculator'!$B$4)</x:f>
        <x:v>0</x:v>
      </x:c>
      <x:c r="I123" t="n">
        <x:f>--AND(H123=1,G123=1)</x:f>
        <x:v>0</x:v>
      </x:c>
      <x:c r="J123" t="n">
        <x:f>--AND(F123=1,E123='Calculator'!$B$4)</x:f>
        <x:v>0</x:v>
      </x:c>
      <x:c r="K123" t="n">
        <x:f>--AND(J123=1,G123=1)</x:f>
        <x:v>0</x:v>
      </x:c>
      <x:c r="L123" t="str">
        <x:f>A123&amp;"/"&amp;B123&amp;"/"&amp;C123</x:f>
        <x:v>7/8/7</x:v>
      </x:c>
      <x:c r="M123" t="str">
        <x:f>MIN(15,A123+'Calculator'!$B$6)&amp;"/"&amp;MIN(15,B123+'Calculator'!$B$6)&amp;"/"&amp;MIN(15,C123+'Calculator'!$B$6)</x:f>
        <x:v>9/10/9</x:v>
      </x:c>
    </x:row>
    <x:row r="124">
      <x:c r="A124" t="n">
        <x:v>7</x:v>
      </x:c>
      <x:c r="B124" t="n">
        <x:v>8</x:v>
      </x:c>
      <x:c r="C124" t="n">
        <x:v>8</x:v>
      </x:c>
      <x:c r="D124" t="n">
        <x:f>MAX(10,ROUNDDOWN((('Calculator'!$B$10+A124)*SQRT('Calculator'!$B$11+B124)*SQRT('Calculator'!$B$12+C124)*0.59740001^2)/10,0))</x:f>
        <x:v>2250</x:v>
      </x:c>
      <x:c r="E124" t="n">
        <x:f>MAX(10,ROUNDDOWN((('Calculator'!$B$10+A124)*SQRT('Calculator'!$B$11+B124)*SQRT('Calculator'!$B$12+C124)*0.667934^2)/10,0))</x:f>
        <x:v>2812</x:v>
      </x:c>
      <x:c r="F124" t="n">
        <x:f>--AND(A124&gt;='Calculator'!$B$5,B124&gt;='Calculator'!$B$5,C124&gt;='Calculator'!$B$5)</x:f>
        <x:v>1</x:v>
      </x:c>
      <x:c r="G124" t="n">
        <x:f>--AND(A124+'Calculator'!$B$6&gt;=15,B124+'Calculator'!$B$6&gt;=15,C124+'Calculator'!$B$6&gt;=15)</x:f>
        <x:v>0</x:v>
      </x:c>
      <x:c r="H124" t="n">
        <x:f>--AND(F124=1,D124='Calculator'!$B$4)</x:f>
        <x:v>0</x:v>
      </x:c>
      <x:c r="I124" t="n">
        <x:f>--AND(H124=1,G124=1)</x:f>
        <x:v>0</x:v>
      </x:c>
      <x:c r="J124" t="n">
        <x:f>--AND(F124=1,E124='Calculator'!$B$4)</x:f>
        <x:v>0</x:v>
      </x:c>
      <x:c r="K124" t="n">
        <x:f>--AND(J124=1,G124=1)</x:f>
        <x:v>0</x:v>
      </x:c>
      <x:c r="L124" t="str">
        <x:f>A124&amp;"/"&amp;B124&amp;"/"&amp;C124</x:f>
        <x:v>7/8/8</x:v>
      </x:c>
      <x:c r="M124" t="str">
        <x:f>MIN(15,A124+'Calculator'!$B$6)&amp;"/"&amp;MIN(15,B124+'Calculator'!$B$6)&amp;"/"&amp;MIN(15,C124+'Calculator'!$B$6)</x:f>
        <x:v>9/10/10</x:v>
      </x:c>
    </x:row>
    <x:row r="125">
      <x:c r="A125" t="n">
        <x:v>7</x:v>
      </x:c>
      <x:c r="B125" t="n">
        <x:v>8</x:v>
      </x:c>
      <x:c r="C125" t="n">
        <x:v>9</x:v>
      </x:c>
      <x:c r="D125" t="n">
        <x:f>MAX(10,ROUNDDOWN((('Calculator'!$B$10+A125)*SQRT('Calculator'!$B$11+B125)*SQRT('Calculator'!$B$12+C125)*0.59740001^2)/10,0))</x:f>
        <x:v>2255</x:v>
      </x:c>
      <x:c r="E125" t="n">
        <x:f>MAX(10,ROUNDDOWN((('Calculator'!$B$10+A125)*SQRT('Calculator'!$B$11+B125)*SQRT('Calculator'!$B$12+C125)*0.667934^2)/10,0))</x:f>
        <x:v>2819</x:v>
      </x:c>
      <x:c r="F125" t="n">
        <x:f>--AND(A125&gt;='Calculator'!$B$5,B125&gt;='Calculator'!$B$5,C125&gt;='Calculator'!$B$5)</x:f>
        <x:v>1</x:v>
      </x:c>
      <x:c r="G125" t="n">
        <x:f>--AND(A125+'Calculator'!$B$6&gt;=15,B125+'Calculator'!$B$6&gt;=15,C125+'Calculator'!$B$6&gt;=15)</x:f>
        <x:v>0</x:v>
      </x:c>
      <x:c r="H125" t="n">
        <x:f>--AND(F125=1,D125='Calculator'!$B$4)</x:f>
        <x:v>0</x:v>
      </x:c>
      <x:c r="I125" t="n">
        <x:f>--AND(H125=1,G125=1)</x:f>
        <x:v>0</x:v>
      </x:c>
      <x:c r="J125" t="n">
        <x:f>--AND(F125=1,E125='Calculator'!$B$4)</x:f>
        <x:v>0</x:v>
      </x:c>
      <x:c r="K125" t="n">
        <x:f>--AND(J125=1,G125=1)</x:f>
        <x:v>0</x:v>
      </x:c>
      <x:c r="L125" t="str">
        <x:f>A125&amp;"/"&amp;B125&amp;"/"&amp;C125</x:f>
        <x:v>7/8/9</x:v>
      </x:c>
      <x:c r="M125" t="str">
        <x:f>MIN(15,A125+'Calculator'!$B$6)&amp;"/"&amp;MIN(15,B125+'Calculator'!$B$6)&amp;"/"&amp;MIN(15,C125+'Calculator'!$B$6)</x:f>
        <x:v>9/10/11</x:v>
      </x:c>
    </x:row>
    <x:row r="126">
      <x:c r="A126" t="n">
        <x:v>7</x:v>
      </x:c>
      <x:c r="B126" t="n">
        <x:v>8</x:v>
      </x:c>
      <x:c r="C126" t="n">
        <x:v>10</x:v>
      </x:c>
      <x:c r="D126" t="n">
        <x:f>MAX(10,ROUNDDOWN((('Calculator'!$B$10+A126)*SQRT('Calculator'!$B$11+B126)*SQRT('Calculator'!$B$12+C126)*0.59740001^2)/10,0))</x:f>
        <x:v>2260</x:v>
      </x:c>
      <x:c r="E126" t="n">
        <x:f>MAX(10,ROUNDDOWN((('Calculator'!$B$10+A126)*SQRT('Calculator'!$B$11+B126)*SQRT('Calculator'!$B$12+C126)*0.667934^2)/10,0))</x:f>
        <x:v>2825</x:v>
      </x:c>
      <x:c r="F126" t="n">
        <x:f>--AND(A126&gt;='Calculator'!$B$5,B126&gt;='Calculator'!$B$5,C126&gt;='Calculator'!$B$5)</x:f>
        <x:v>1</x:v>
      </x:c>
      <x:c r="G126" t="n">
        <x:f>--AND(A126+'Calculator'!$B$6&gt;=15,B126+'Calculator'!$B$6&gt;=15,C126+'Calculator'!$B$6&gt;=15)</x:f>
        <x:v>0</x:v>
      </x:c>
      <x:c r="H126" t="n">
        <x:f>--AND(F126=1,D126='Calculator'!$B$4)</x:f>
        <x:v>0</x:v>
      </x:c>
      <x:c r="I126" t="n">
        <x:f>--AND(H126=1,G126=1)</x:f>
        <x:v>0</x:v>
      </x:c>
      <x:c r="J126" t="n">
        <x:f>--AND(F126=1,E126='Calculator'!$B$4)</x:f>
        <x:v>0</x:v>
      </x:c>
      <x:c r="K126" t="n">
        <x:f>--AND(J126=1,G126=1)</x:f>
        <x:v>0</x:v>
      </x:c>
      <x:c r="L126" t="str">
        <x:f>A126&amp;"/"&amp;B126&amp;"/"&amp;C126</x:f>
        <x:v>7/8/10</x:v>
      </x:c>
      <x:c r="M126" t="str">
        <x:f>MIN(15,A126+'Calculator'!$B$6)&amp;"/"&amp;MIN(15,B126+'Calculator'!$B$6)&amp;"/"&amp;MIN(15,C126+'Calculator'!$B$6)</x:f>
        <x:v>9/10/12</x:v>
      </x:c>
    </x:row>
    <x:row r="127">
      <x:c r="A127" t="n">
        <x:v>7</x:v>
      </x:c>
      <x:c r="B127" t="n">
        <x:v>8</x:v>
      </x:c>
      <x:c r="C127" t="n">
        <x:v>11</x:v>
      </x:c>
      <x:c r="D127" t="n">
        <x:f>MAX(10,ROUNDDOWN((('Calculator'!$B$10+A127)*SQRT('Calculator'!$B$11+B127)*SQRT('Calculator'!$B$12+C127)*0.59740001^2)/10,0))</x:f>
        <x:v>2265</x:v>
      </x:c>
      <x:c r="E127" t="n">
        <x:f>MAX(10,ROUNDDOWN((('Calculator'!$B$10+A127)*SQRT('Calculator'!$B$11+B127)*SQRT('Calculator'!$B$12+C127)*0.667934^2)/10,0))</x:f>
        <x:v>2831</x:v>
      </x:c>
      <x:c r="F127" t="n">
        <x:f>--AND(A127&gt;='Calculator'!$B$5,B127&gt;='Calculator'!$B$5,C127&gt;='Calculator'!$B$5)</x:f>
        <x:v>1</x:v>
      </x:c>
      <x:c r="G127" t="n">
        <x:f>--AND(A127+'Calculator'!$B$6&gt;=15,B127+'Calculator'!$B$6&gt;=15,C127+'Calculator'!$B$6&gt;=15)</x:f>
        <x:v>0</x:v>
      </x:c>
      <x:c r="H127" t="n">
        <x:f>--AND(F127=1,D127='Calculator'!$B$4)</x:f>
        <x:v>0</x:v>
      </x:c>
      <x:c r="I127" t="n">
        <x:f>--AND(H127=1,G127=1)</x:f>
        <x:v>0</x:v>
      </x:c>
      <x:c r="J127" t="n">
        <x:f>--AND(F127=1,E127='Calculator'!$B$4)</x:f>
        <x:v>0</x:v>
      </x:c>
      <x:c r="K127" t="n">
        <x:f>--AND(J127=1,G127=1)</x:f>
        <x:v>0</x:v>
      </x:c>
      <x:c r="L127" t="str">
        <x:f>A127&amp;"/"&amp;B127&amp;"/"&amp;C127</x:f>
        <x:v>7/8/11</x:v>
      </x:c>
      <x:c r="M127" t="str">
        <x:f>MIN(15,A127+'Calculator'!$B$6)&amp;"/"&amp;MIN(15,B127+'Calculator'!$B$6)&amp;"/"&amp;MIN(15,C127+'Calculator'!$B$6)</x:f>
        <x:v>9/10/13</x:v>
      </x:c>
    </x:row>
    <x:row r="128">
      <x:c r="A128" t="n">
        <x:v>7</x:v>
      </x:c>
      <x:c r="B128" t="n">
        <x:v>8</x:v>
      </x:c>
      <x:c r="C128" t="n">
        <x:v>12</x:v>
      </x:c>
      <x:c r="D128" t="n">
        <x:f>MAX(10,ROUNDDOWN((('Calculator'!$B$10+A128)*SQRT('Calculator'!$B$11+B128)*SQRT('Calculator'!$B$12+C128)*0.59740001^2)/10,0))</x:f>
        <x:v>2270</x:v>
      </x:c>
      <x:c r="E128" t="n">
        <x:f>MAX(10,ROUNDDOWN((('Calculator'!$B$10+A128)*SQRT('Calculator'!$B$11+B128)*SQRT('Calculator'!$B$12+C128)*0.667934^2)/10,0))</x:f>
        <x:v>2838</x:v>
      </x:c>
      <x:c r="F128" t="n">
        <x:f>--AND(A128&gt;='Calculator'!$B$5,B128&gt;='Calculator'!$B$5,C128&gt;='Calculator'!$B$5)</x:f>
        <x:v>1</x:v>
      </x:c>
      <x:c r="G128" t="n">
        <x:f>--AND(A128+'Calculator'!$B$6&gt;=15,B128+'Calculator'!$B$6&gt;=15,C128+'Calculator'!$B$6&gt;=15)</x:f>
        <x:v>0</x:v>
      </x:c>
      <x:c r="H128" t="n">
        <x:f>--AND(F128=1,D128='Calculator'!$B$4)</x:f>
        <x:v>0</x:v>
      </x:c>
      <x:c r="I128" t="n">
        <x:f>--AND(H128=1,G128=1)</x:f>
        <x:v>0</x:v>
      </x:c>
      <x:c r="J128" t="n">
        <x:f>--AND(F128=1,E128='Calculator'!$B$4)</x:f>
        <x:v>0</x:v>
      </x:c>
      <x:c r="K128" t="n">
        <x:f>--AND(J128=1,G128=1)</x:f>
        <x:v>0</x:v>
      </x:c>
      <x:c r="L128" t="str">
        <x:f>A128&amp;"/"&amp;B128&amp;"/"&amp;C128</x:f>
        <x:v>7/8/12</x:v>
      </x:c>
      <x:c r="M128" t="str">
        <x:f>MIN(15,A128+'Calculator'!$B$6)&amp;"/"&amp;MIN(15,B128+'Calculator'!$B$6)&amp;"/"&amp;MIN(15,C128+'Calculator'!$B$6)</x:f>
        <x:v>9/10/14</x:v>
      </x:c>
    </x:row>
    <x:row r="129">
      <x:c r="A129" t="n">
        <x:v>7</x:v>
      </x:c>
      <x:c r="B129" t="n">
        <x:v>8</x:v>
      </x:c>
      <x:c r="C129" t="n">
        <x:v>13</x:v>
      </x:c>
      <x:c r="D129" t="n">
        <x:f>MAX(10,ROUNDDOWN((('Calculator'!$B$10+A129)*SQRT('Calculator'!$B$11+B129)*SQRT('Calculator'!$B$12+C129)*0.59740001^2)/10,0))</x:f>
        <x:v>2275</x:v>
      </x:c>
      <x:c r="E129" t="n">
        <x:f>MAX(10,ROUNDDOWN((('Calculator'!$B$10+A129)*SQRT('Calculator'!$B$11+B129)*SQRT('Calculator'!$B$12+C129)*0.667934^2)/10,0))</x:f>
        <x:v>2844</x:v>
      </x:c>
      <x:c r="F129" t="n">
        <x:f>--AND(A129&gt;='Calculator'!$B$5,B129&gt;='Calculator'!$B$5,C129&gt;='Calculator'!$B$5)</x:f>
        <x:v>1</x:v>
      </x:c>
      <x:c r="G129" t="n">
        <x:f>--AND(A129+'Calculator'!$B$6&gt;=15,B129+'Calculator'!$B$6&gt;=15,C129+'Calculator'!$B$6&gt;=15)</x:f>
        <x:v>0</x:v>
      </x:c>
      <x:c r="H129" t="n">
        <x:f>--AND(F129=1,D129='Calculator'!$B$4)</x:f>
        <x:v>0</x:v>
      </x:c>
      <x:c r="I129" t="n">
        <x:f>--AND(H129=1,G129=1)</x:f>
        <x:v>0</x:v>
      </x:c>
      <x:c r="J129" t="n">
        <x:f>--AND(F129=1,E129='Calculator'!$B$4)</x:f>
        <x:v>0</x:v>
      </x:c>
      <x:c r="K129" t="n">
        <x:f>--AND(J129=1,G129=1)</x:f>
        <x:v>0</x:v>
      </x:c>
      <x:c r="L129" t="str">
        <x:f>A129&amp;"/"&amp;B129&amp;"/"&amp;C129</x:f>
        <x:v>7/8/13</x:v>
      </x:c>
      <x:c r="M129" t="str">
        <x:f>MIN(15,A129+'Calculator'!$B$6)&amp;"/"&amp;MIN(15,B129+'Calculator'!$B$6)&amp;"/"&amp;MIN(15,C129+'Calculator'!$B$6)</x:f>
        <x:v>9/10/15</x:v>
      </x:c>
    </x:row>
    <x:row r="130">
      <x:c r="A130" t="n">
        <x:v>7</x:v>
      </x:c>
      <x:c r="B130" t="n">
        <x:v>8</x:v>
      </x:c>
      <x:c r="C130" t="n">
        <x:v>14</x:v>
      </x:c>
      <x:c r="D130" t="n">
        <x:f>MAX(10,ROUNDDOWN((('Calculator'!$B$10+A130)*SQRT('Calculator'!$B$11+B130)*SQRT('Calculator'!$B$12+C130)*0.59740001^2)/10,0))</x:f>
        <x:v>2280</x:v>
      </x:c>
      <x:c r="E130" t="n">
        <x:f>MAX(10,ROUNDDOWN((('Calculator'!$B$10+A130)*SQRT('Calculator'!$B$11+B130)*SQRT('Calculator'!$B$12+C130)*0.667934^2)/10,0))</x:f>
        <x:v>2850</x:v>
      </x:c>
      <x:c r="F130" t="n">
        <x:f>--AND(A130&gt;='Calculator'!$B$5,B130&gt;='Calculator'!$B$5,C130&gt;='Calculator'!$B$5)</x:f>
        <x:v>1</x:v>
      </x:c>
      <x:c r="G130" t="n">
        <x:f>--AND(A130+'Calculator'!$B$6&gt;=15,B130+'Calculator'!$B$6&gt;=15,C130+'Calculator'!$B$6&gt;=15)</x:f>
        <x:v>0</x:v>
      </x:c>
      <x:c r="H130" t="n">
        <x:f>--AND(F130=1,D130='Calculator'!$B$4)</x:f>
        <x:v>0</x:v>
      </x:c>
      <x:c r="I130" t="n">
        <x:f>--AND(H130=1,G130=1)</x:f>
        <x:v>0</x:v>
      </x:c>
      <x:c r="J130" t="n">
        <x:f>--AND(F130=1,E130='Calculator'!$B$4)</x:f>
        <x:v>0</x:v>
      </x:c>
      <x:c r="K130" t="n">
        <x:f>--AND(J130=1,G130=1)</x:f>
        <x:v>0</x:v>
      </x:c>
      <x:c r="L130" t="str">
        <x:f>A130&amp;"/"&amp;B130&amp;"/"&amp;C130</x:f>
        <x:v>7/8/14</x:v>
      </x:c>
      <x:c r="M130" t="str">
        <x:f>MIN(15,A130+'Calculator'!$B$6)&amp;"/"&amp;MIN(15,B130+'Calculator'!$B$6)&amp;"/"&amp;MIN(15,C130+'Calculator'!$B$6)</x:f>
        <x:v>9/10/15</x:v>
      </x:c>
    </x:row>
    <x:row r="131">
      <x:c r="A131" t="n">
        <x:v>7</x:v>
      </x:c>
      <x:c r="B131" t="n">
        <x:v>8</x:v>
      </x:c>
      <x:c r="C131" t="n">
        <x:v>15</x:v>
      </x:c>
      <x:c r="D131" t="n">
        <x:f>MAX(10,ROUNDDOWN((('Calculator'!$B$10+A131)*SQRT('Calculator'!$B$11+B131)*SQRT('Calculator'!$B$12+C131)*0.59740001^2)/10,0))</x:f>
        <x:v>2285</x:v>
      </x:c>
      <x:c r="E131" t="n">
        <x:f>MAX(10,ROUNDDOWN((('Calculator'!$B$10+A131)*SQRT('Calculator'!$B$11+B131)*SQRT('Calculator'!$B$12+C131)*0.667934^2)/10,0))</x:f>
        <x:v>2856</x:v>
      </x:c>
      <x:c r="F131" t="n">
        <x:f>--AND(A131&gt;='Calculator'!$B$5,B131&gt;='Calculator'!$B$5,C131&gt;='Calculator'!$B$5)</x:f>
        <x:v>1</x:v>
      </x:c>
      <x:c r="G131" t="n">
        <x:f>--AND(A131+'Calculator'!$B$6&gt;=15,B131+'Calculator'!$B$6&gt;=15,C131+'Calculator'!$B$6&gt;=15)</x:f>
        <x:v>0</x:v>
      </x:c>
      <x:c r="H131" t="n">
        <x:f>--AND(F131=1,D131='Calculator'!$B$4)</x:f>
        <x:v>0</x:v>
      </x:c>
      <x:c r="I131" t="n">
        <x:f>--AND(H131=1,G131=1)</x:f>
        <x:v>0</x:v>
      </x:c>
      <x:c r="J131" t="n">
        <x:f>--AND(F131=1,E131='Calculator'!$B$4)</x:f>
        <x:v>0</x:v>
      </x:c>
      <x:c r="K131" t="n">
        <x:f>--AND(J131=1,G131=1)</x:f>
        <x:v>0</x:v>
      </x:c>
      <x:c r="L131" t="str">
        <x:f>A131&amp;"/"&amp;B131&amp;"/"&amp;C131</x:f>
        <x:v>7/8/15</x:v>
      </x:c>
      <x:c r="M131" t="str">
        <x:f>MIN(15,A131+'Calculator'!$B$6)&amp;"/"&amp;MIN(15,B131+'Calculator'!$B$6)&amp;"/"&amp;MIN(15,C131+'Calculator'!$B$6)</x:f>
        <x:v>9/10/15</x:v>
      </x:c>
    </x:row>
    <x:row r="132">
      <x:c r="A132" t="n">
        <x:v>7</x:v>
      </x:c>
      <x:c r="B132" t="n">
        <x:v>9</x:v>
      </x:c>
      <x:c r="C132" t="n">
        <x:v>6</x:v>
      </x:c>
      <x:c r="D132" t="n">
        <x:f>MAX(10,ROUNDDOWN((('Calculator'!$B$10+A132)*SQRT('Calculator'!$B$11+B132)*SQRT('Calculator'!$B$12+C132)*0.59740001^2)/10,0))</x:f>
        <x:v>2245</x:v>
      </x:c>
      <x:c r="E132" t="n">
        <x:f>MAX(10,ROUNDDOWN((('Calculator'!$B$10+A132)*SQRT('Calculator'!$B$11+B132)*SQRT('Calculator'!$B$12+C132)*0.667934^2)/10,0))</x:f>
        <x:v>2807</x:v>
      </x:c>
      <x:c r="F132" t="n">
        <x:f>--AND(A132&gt;='Calculator'!$B$5,B132&gt;='Calculator'!$B$5,C132&gt;='Calculator'!$B$5)</x:f>
        <x:v>1</x:v>
      </x:c>
      <x:c r="G132" t="n">
        <x:f>--AND(A132+'Calculator'!$B$6&gt;=15,B132+'Calculator'!$B$6&gt;=15,C132+'Calculator'!$B$6&gt;=15)</x:f>
        <x:v>0</x:v>
      </x:c>
      <x:c r="H132" t="n">
        <x:f>--AND(F132=1,D132='Calculator'!$B$4)</x:f>
        <x:v>0</x:v>
      </x:c>
      <x:c r="I132" t="n">
        <x:f>--AND(H132=1,G132=1)</x:f>
        <x:v>0</x:v>
      </x:c>
      <x:c r="J132" t="n">
        <x:f>--AND(F132=1,E132='Calculator'!$B$4)</x:f>
        <x:v>0</x:v>
      </x:c>
      <x:c r="K132" t="n">
        <x:f>--AND(J132=1,G132=1)</x:f>
        <x:v>0</x:v>
      </x:c>
      <x:c r="L132" t="str">
        <x:f>A132&amp;"/"&amp;B132&amp;"/"&amp;C132</x:f>
        <x:v>7/9/6</x:v>
      </x:c>
      <x:c r="M132" t="str">
        <x:f>MIN(15,A132+'Calculator'!$B$6)&amp;"/"&amp;MIN(15,B132+'Calculator'!$B$6)&amp;"/"&amp;MIN(15,C132+'Calculator'!$B$6)</x:f>
        <x:v>9/11/8</x:v>
      </x:c>
    </x:row>
    <x:row r="133">
      <x:c r="A133" t="n">
        <x:v>7</x:v>
      </x:c>
      <x:c r="B133" t="n">
        <x:v>9</x:v>
      </x:c>
      <x:c r="C133" t="n">
        <x:v>7</x:v>
      </x:c>
      <x:c r="D133" t="n">
        <x:f>MAX(10,ROUNDDOWN((('Calculator'!$B$10+A133)*SQRT('Calculator'!$B$11+B133)*SQRT('Calculator'!$B$12+C133)*0.59740001^2)/10,0))</x:f>
        <x:v>2251</x:v>
      </x:c>
      <x:c r="E133" t="n">
        <x:f>MAX(10,ROUNDDOWN((('Calculator'!$B$10+A133)*SQRT('Calculator'!$B$11+B133)*SQRT('Calculator'!$B$12+C133)*0.667934^2)/10,0))</x:f>
        <x:v>2813</x:v>
      </x:c>
      <x:c r="F133" t="n">
        <x:f>--AND(A133&gt;='Calculator'!$B$5,B133&gt;='Calculator'!$B$5,C133&gt;='Calculator'!$B$5)</x:f>
        <x:v>1</x:v>
      </x:c>
      <x:c r="G133" t="n">
        <x:f>--AND(A133+'Calculator'!$B$6&gt;=15,B133+'Calculator'!$B$6&gt;=15,C133+'Calculator'!$B$6&gt;=15)</x:f>
        <x:v>0</x:v>
      </x:c>
      <x:c r="H133" t="n">
        <x:f>--AND(F133=1,D133='Calculator'!$B$4)</x:f>
        <x:v>0</x:v>
      </x:c>
      <x:c r="I133" t="n">
        <x:f>--AND(H133=1,G133=1)</x:f>
        <x:v>0</x:v>
      </x:c>
      <x:c r="J133" t="n">
        <x:f>--AND(F133=1,E133='Calculator'!$B$4)</x:f>
        <x:v>0</x:v>
      </x:c>
      <x:c r="K133" t="n">
        <x:f>--AND(J133=1,G133=1)</x:f>
        <x:v>0</x:v>
      </x:c>
      <x:c r="L133" t="str">
        <x:f>A133&amp;"/"&amp;B133&amp;"/"&amp;C133</x:f>
        <x:v>7/9/7</x:v>
      </x:c>
      <x:c r="M133" t="str">
        <x:f>MIN(15,A133+'Calculator'!$B$6)&amp;"/"&amp;MIN(15,B133+'Calculator'!$B$6)&amp;"/"&amp;MIN(15,C133+'Calculator'!$B$6)</x:f>
        <x:v>9/11/9</x:v>
      </x:c>
    </x:row>
    <x:row r="134">
      <x:c r="A134" t="n">
        <x:v>7</x:v>
      </x:c>
      <x:c r="B134" t="n">
        <x:v>9</x:v>
      </x:c>
      <x:c r="C134" t="n">
        <x:v>8</x:v>
      </x:c>
      <x:c r="D134" t="n">
        <x:f>MAX(10,ROUNDDOWN((('Calculator'!$B$10+A134)*SQRT('Calculator'!$B$11+B134)*SQRT('Calculator'!$B$12+C134)*0.59740001^2)/10,0))</x:f>
        <x:v>2256</x:v>
      </x:c>
      <x:c r="E134" t="n">
        <x:f>MAX(10,ROUNDDOWN((('Calculator'!$B$10+A134)*SQRT('Calculator'!$B$11+B134)*SQRT('Calculator'!$B$12+C134)*0.667934^2)/10,0))</x:f>
        <x:v>2820</x:v>
      </x:c>
      <x:c r="F134" t="n">
        <x:f>--AND(A134&gt;='Calculator'!$B$5,B134&gt;='Calculator'!$B$5,C134&gt;='Calculator'!$B$5)</x:f>
        <x:v>1</x:v>
      </x:c>
      <x:c r="G134" t="n">
        <x:f>--AND(A134+'Calculator'!$B$6&gt;=15,B134+'Calculator'!$B$6&gt;=15,C134+'Calculator'!$B$6&gt;=15)</x:f>
        <x:v>0</x:v>
      </x:c>
      <x:c r="H134" t="n">
        <x:f>--AND(F134=1,D134='Calculator'!$B$4)</x:f>
        <x:v>0</x:v>
      </x:c>
      <x:c r="I134" t="n">
        <x:f>--AND(H134=1,G134=1)</x:f>
        <x:v>0</x:v>
      </x:c>
      <x:c r="J134" t="n">
        <x:f>--AND(F134=1,E134='Calculator'!$B$4)</x:f>
        <x:v>0</x:v>
      </x:c>
      <x:c r="K134" t="n">
        <x:f>--AND(J134=1,G134=1)</x:f>
        <x:v>0</x:v>
      </x:c>
      <x:c r="L134" t="str">
        <x:f>A134&amp;"/"&amp;B134&amp;"/"&amp;C134</x:f>
        <x:v>7/9/8</x:v>
      </x:c>
      <x:c r="M134" t="str">
        <x:f>MIN(15,A134+'Calculator'!$B$6)&amp;"/"&amp;MIN(15,B134+'Calculator'!$B$6)&amp;"/"&amp;MIN(15,C134+'Calculator'!$B$6)</x:f>
        <x:v>9/11/10</x:v>
      </x:c>
    </x:row>
    <x:row r="135">
      <x:c r="A135" t="n">
        <x:v>7</x:v>
      </x:c>
      <x:c r="B135" t="n">
        <x:v>9</x:v>
      </x:c>
      <x:c r="C135" t="n">
        <x:v>9</x:v>
      </x:c>
      <x:c r="D135" t="n">
        <x:f>MAX(10,ROUNDDOWN((('Calculator'!$B$10+A135)*SQRT('Calculator'!$B$11+B135)*SQRT('Calculator'!$B$12+C135)*0.59740001^2)/10,0))</x:f>
        <x:v>2261</x:v>
      </x:c>
      <x:c r="E135" t="n">
        <x:f>MAX(10,ROUNDDOWN((('Calculator'!$B$10+A135)*SQRT('Calculator'!$B$11+B135)*SQRT('Calculator'!$B$12+C135)*0.667934^2)/10,0))</x:f>
        <x:v>2826</x:v>
      </x:c>
      <x:c r="F135" t="n">
        <x:f>--AND(A135&gt;='Calculator'!$B$5,B135&gt;='Calculator'!$B$5,C135&gt;='Calculator'!$B$5)</x:f>
        <x:v>1</x:v>
      </x:c>
      <x:c r="G135" t="n">
        <x:f>--AND(A135+'Calculator'!$B$6&gt;=15,B135+'Calculator'!$B$6&gt;=15,C135+'Calculator'!$B$6&gt;=15)</x:f>
        <x:v>0</x:v>
      </x:c>
      <x:c r="H135" t="n">
        <x:f>--AND(F135=1,D135='Calculator'!$B$4)</x:f>
        <x:v>0</x:v>
      </x:c>
      <x:c r="I135" t="n">
        <x:f>--AND(H135=1,G135=1)</x:f>
        <x:v>0</x:v>
      </x:c>
      <x:c r="J135" t="n">
        <x:f>--AND(F135=1,E135='Calculator'!$B$4)</x:f>
        <x:v>0</x:v>
      </x:c>
      <x:c r="K135" t="n">
        <x:f>--AND(J135=1,G135=1)</x:f>
        <x:v>0</x:v>
      </x:c>
      <x:c r="L135" t="str">
        <x:f>A135&amp;"/"&amp;B135&amp;"/"&amp;C135</x:f>
        <x:v>7/9/9</x:v>
      </x:c>
      <x:c r="M135" t="str">
        <x:f>MIN(15,A135+'Calculator'!$B$6)&amp;"/"&amp;MIN(15,B135+'Calculator'!$B$6)&amp;"/"&amp;MIN(15,C135+'Calculator'!$B$6)</x:f>
        <x:v>9/11/11</x:v>
      </x:c>
    </x:row>
    <x:row r="136">
      <x:c r="A136" t="n">
        <x:v>7</x:v>
      </x:c>
      <x:c r="B136" t="n">
        <x:v>9</x:v>
      </x:c>
      <x:c r="C136" t="n">
        <x:v>10</x:v>
      </x:c>
      <x:c r="D136" t="n">
        <x:f>MAX(10,ROUNDDOWN((('Calculator'!$B$10+A136)*SQRT('Calculator'!$B$11+B136)*SQRT('Calculator'!$B$12+C136)*0.59740001^2)/10,0))</x:f>
        <x:v>2266</x:v>
      </x:c>
      <x:c r="E136" t="n">
        <x:f>MAX(10,ROUNDDOWN((('Calculator'!$B$10+A136)*SQRT('Calculator'!$B$11+B136)*SQRT('Calculator'!$B$12+C136)*0.667934^2)/10,0))</x:f>
        <x:v>2832</x:v>
      </x:c>
      <x:c r="F136" t="n">
        <x:f>--AND(A136&gt;='Calculator'!$B$5,B136&gt;='Calculator'!$B$5,C136&gt;='Calculator'!$B$5)</x:f>
        <x:v>1</x:v>
      </x:c>
      <x:c r="G136" t="n">
        <x:f>--AND(A136+'Calculator'!$B$6&gt;=15,B136+'Calculator'!$B$6&gt;=15,C136+'Calculator'!$B$6&gt;=15)</x:f>
        <x:v>0</x:v>
      </x:c>
      <x:c r="H136" t="n">
        <x:f>--AND(F136=1,D136='Calculator'!$B$4)</x:f>
        <x:v>0</x:v>
      </x:c>
      <x:c r="I136" t="n">
        <x:f>--AND(H136=1,G136=1)</x:f>
        <x:v>0</x:v>
      </x:c>
      <x:c r="J136" t="n">
        <x:f>--AND(F136=1,E136='Calculator'!$B$4)</x:f>
        <x:v>0</x:v>
      </x:c>
      <x:c r="K136" t="n">
        <x:f>--AND(J136=1,G136=1)</x:f>
        <x:v>0</x:v>
      </x:c>
      <x:c r="L136" t="str">
        <x:f>A136&amp;"/"&amp;B136&amp;"/"&amp;C136</x:f>
        <x:v>7/9/10</x:v>
      </x:c>
      <x:c r="M136" t="str">
        <x:f>MIN(15,A136+'Calculator'!$B$6)&amp;"/"&amp;MIN(15,B136+'Calculator'!$B$6)&amp;"/"&amp;MIN(15,C136+'Calculator'!$B$6)</x:f>
        <x:v>9/11/12</x:v>
      </x:c>
    </x:row>
    <x:row r="137">
      <x:c r="A137" t="n">
        <x:v>7</x:v>
      </x:c>
      <x:c r="B137" t="n">
        <x:v>9</x:v>
      </x:c>
      <x:c r="C137" t="n">
        <x:v>11</x:v>
      </x:c>
      <x:c r="D137" t="n">
        <x:f>MAX(10,ROUNDDOWN((('Calculator'!$B$10+A137)*SQRT('Calculator'!$B$11+B137)*SQRT('Calculator'!$B$12+C137)*0.59740001^2)/10,0))</x:f>
        <x:v>2271</x:v>
      </x:c>
      <x:c r="E137" t="n">
        <x:f>MAX(10,ROUNDDOWN((('Calculator'!$B$10+A137)*SQRT('Calculator'!$B$11+B137)*SQRT('Calculator'!$B$12+C137)*0.667934^2)/10,0))</x:f>
        <x:v>2839</x:v>
      </x:c>
      <x:c r="F137" t="n">
        <x:f>--AND(A137&gt;='Calculator'!$B$5,B137&gt;='Calculator'!$B$5,C137&gt;='Calculator'!$B$5)</x:f>
        <x:v>1</x:v>
      </x:c>
      <x:c r="G137" t="n">
        <x:f>--AND(A137+'Calculator'!$B$6&gt;=15,B137+'Calculator'!$B$6&gt;=15,C137+'Calculator'!$B$6&gt;=15)</x:f>
        <x:v>0</x:v>
      </x:c>
      <x:c r="H137" t="n">
        <x:f>--AND(F137=1,D137='Calculator'!$B$4)</x:f>
        <x:v>0</x:v>
      </x:c>
      <x:c r="I137" t="n">
        <x:f>--AND(H137=1,G137=1)</x:f>
        <x:v>0</x:v>
      </x:c>
      <x:c r="J137" t="n">
        <x:f>--AND(F137=1,E137='Calculator'!$B$4)</x:f>
        <x:v>0</x:v>
      </x:c>
      <x:c r="K137" t="n">
        <x:f>--AND(J137=1,G137=1)</x:f>
        <x:v>0</x:v>
      </x:c>
      <x:c r="L137" t="str">
        <x:f>A137&amp;"/"&amp;B137&amp;"/"&amp;C137</x:f>
        <x:v>7/9/11</x:v>
      </x:c>
      <x:c r="M137" t="str">
        <x:f>MIN(15,A137+'Calculator'!$B$6)&amp;"/"&amp;MIN(15,B137+'Calculator'!$B$6)&amp;"/"&amp;MIN(15,C137+'Calculator'!$B$6)</x:f>
        <x:v>9/11/13</x:v>
      </x:c>
    </x:row>
    <x:row r="138">
      <x:c r="A138" t="n">
        <x:v>7</x:v>
      </x:c>
      <x:c r="B138" t="n">
        <x:v>9</x:v>
      </x:c>
      <x:c r="C138" t="n">
        <x:v>12</x:v>
      </x:c>
      <x:c r="D138" t="n">
        <x:f>MAX(10,ROUNDDOWN((('Calculator'!$B$10+A138)*SQRT('Calculator'!$B$11+B138)*SQRT('Calculator'!$B$12+C138)*0.59740001^2)/10,0))</x:f>
        <x:v>2276</x:v>
      </x:c>
      <x:c r="E138" t="n">
        <x:f>MAX(10,ROUNDDOWN((('Calculator'!$B$10+A138)*SQRT('Calculator'!$B$11+B138)*SQRT('Calculator'!$B$12+C138)*0.667934^2)/10,0))</x:f>
        <x:v>2845</x:v>
      </x:c>
      <x:c r="F138" t="n">
        <x:f>--AND(A138&gt;='Calculator'!$B$5,B138&gt;='Calculator'!$B$5,C138&gt;='Calculator'!$B$5)</x:f>
        <x:v>1</x:v>
      </x:c>
      <x:c r="G138" t="n">
        <x:f>--AND(A138+'Calculator'!$B$6&gt;=15,B138+'Calculator'!$B$6&gt;=15,C138+'Calculator'!$B$6&gt;=15)</x:f>
        <x:v>0</x:v>
      </x:c>
      <x:c r="H138" t="n">
        <x:f>--AND(F138=1,D138='Calculator'!$B$4)</x:f>
        <x:v>0</x:v>
      </x:c>
      <x:c r="I138" t="n">
        <x:f>--AND(H138=1,G138=1)</x:f>
        <x:v>0</x:v>
      </x:c>
      <x:c r="J138" t="n">
        <x:f>--AND(F138=1,E138='Calculator'!$B$4)</x:f>
        <x:v>0</x:v>
      </x:c>
      <x:c r="K138" t="n">
        <x:f>--AND(J138=1,G138=1)</x:f>
        <x:v>0</x:v>
      </x:c>
      <x:c r="L138" t="str">
        <x:f>A138&amp;"/"&amp;B138&amp;"/"&amp;C138</x:f>
        <x:v>7/9/12</x:v>
      </x:c>
      <x:c r="M138" t="str">
        <x:f>MIN(15,A138+'Calculator'!$B$6)&amp;"/"&amp;MIN(15,B138+'Calculator'!$B$6)&amp;"/"&amp;MIN(15,C138+'Calculator'!$B$6)</x:f>
        <x:v>9/11/14</x:v>
      </x:c>
    </x:row>
    <x:row r="139">
      <x:c r="A139" t="n">
        <x:v>7</x:v>
      </x:c>
      <x:c r="B139" t="n">
        <x:v>9</x:v>
      </x:c>
      <x:c r="C139" t="n">
        <x:v>13</x:v>
      </x:c>
      <x:c r="D139" t="n">
        <x:f>MAX(10,ROUNDDOWN((('Calculator'!$B$10+A139)*SQRT('Calculator'!$B$11+B139)*SQRT('Calculator'!$B$12+C139)*0.59740001^2)/10,0))</x:f>
        <x:v>2281</x:v>
      </x:c>
      <x:c r="E139" t="n">
        <x:f>MAX(10,ROUNDDOWN((('Calculator'!$B$10+A139)*SQRT('Calculator'!$B$11+B139)*SQRT('Calculator'!$B$12+C139)*0.667934^2)/10,0))</x:f>
        <x:v>2851</x:v>
      </x:c>
      <x:c r="F139" t="n">
        <x:f>--AND(A139&gt;='Calculator'!$B$5,B139&gt;='Calculator'!$B$5,C139&gt;='Calculator'!$B$5)</x:f>
        <x:v>1</x:v>
      </x:c>
      <x:c r="G139" t="n">
        <x:f>--AND(A139+'Calculator'!$B$6&gt;=15,B139+'Calculator'!$B$6&gt;=15,C139+'Calculator'!$B$6&gt;=15)</x:f>
        <x:v>0</x:v>
      </x:c>
      <x:c r="H139" t="n">
        <x:f>--AND(F139=1,D139='Calculator'!$B$4)</x:f>
        <x:v>0</x:v>
      </x:c>
      <x:c r="I139" t="n">
        <x:f>--AND(H139=1,G139=1)</x:f>
        <x:v>0</x:v>
      </x:c>
      <x:c r="J139" t="n">
        <x:f>--AND(F139=1,E139='Calculator'!$B$4)</x:f>
        <x:v>0</x:v>
      </x:c>
      <x:c r="K139" t="n">
        <x:f>--AND(J139=1,G139=1)</x:f>
        <x:v>0</x:v>
      </x:c>
      <x:c r="L139" t="str">
        <x:f>A139&amp;"/"&amp;B139&amp;"/"&amp;C139</x:f>
        <x:v>7/9/13</x:v>
      </x:c>
      <x:c r="M139" t="str">
        <x:f>MIN(15,A139+'Calculator'!$B$6)&amp;"/"&amp;MIN(15,B139+'Calculator'!$B$6)&amp;"/"&amp;MIN(15,C139+'Calculator'!$B$6)</x:f>
        <x:v>9/11/15</x:v>
      </x:c>
    </x:row>
    <x:row r="140">
      <x:c r="A140" t="n">
        <x:v>7</x:v>
      </x:c>
      <x:c r="B140" t="n">
        <x:v>9</x:v>
      </x:c>
      <x:c r="C140" t="n">
        <x:v>14</x:v>
      </x:c>
      <x:c r="D140" t="n">
        <x:f>MAX(10,ROUNDDOWN((('Calculator'!$B$10+A140)*SQRT('Calculator'!$B$11+B140)*SQRT('Calculator'!$B$12+C140)*0.59740001^2)/10,0))</x:f>
        <x:v>2286</x:v>
      </x:c>
      <x:c r="E140" t="n">
        <x:f>MAX(10,ROUNDDOWN((('Calculator'!$B$10+A140)*SQRT('Calculator'!$B$11+B140)*SQRT('Calculator'!$B$12+C140)*0.667934^2)/10,0))</x:f>
        <x:v>2858</x:v>
      </x:c>
      <x:c r="F140" t="n">
        <x:f>--AND(A140&gt;='Calculator'!$B$5,B140&gt;='Calculator'!$B$5,C140&gt;='Calculator'!$B$5)</x:f>
        <x:v>1</x:v>
      </x:c>
      <x:c r="G140" t="n">
        <x:f>--AND(A140+'Calculator'!$B$6&gt;=15,B140+'Calculator'!$B$6&gt;=15,C140+'Calculator'!$B$6&gt;=15)</x:f>
        <x:v>0</x:v>
      </x:c>
      <x:c r="H140" t="n">
        <x:f>--AND(F140=1,D140='Calculator'!$B$4)</x:f>
        <x:v>0</x:v>
      </x:c>
      <x:c r="I140" t="n">
        <x:f>--AND(H140=1,G140=1)</x:f>
        <x:v>0</x:v>
      </x:c>
      <x:c r="J140" t="n">
        <x:f>--AND(F140=1,E140='Calculator'!$B$4)</x:f>
        <x:v>0</x:v>
      </x:c>
      <x:c r="K140" t="n">
        <x:f>--AND(J140=1,G140=1)</x:f>
        <x:v>0</x:v>
      </x:c>
      <x:c r="L140" t="str">
        <x:f>A140&amp;"/"&amp;B140&amp;"/"&amp;C140</x:f>
        <x:v>7/9/14</x:v>
      </x:c>
      <x:c r="M140" t="str">
        <x:f>MIN(15,A140+'Calculator'!$B$6)&amp;"/"&amp;MIN(15,B140+'Calculator'!$B$6)&amp;"/"&amp;MIN(15,C140+'Calculator'!$B$6)</x:f>
        <x:v>9/11/15</x:v>
      </x:c>
    </x:row>
    <x:row r="141">
      <x:c r="A141" t="n">
        <x:v>7</x:v>
      </x:c>
      <x:c r="B141" t="n">
        <x:v>9</x:v>
      </x:c>
      <x:c r="C141" t="n">
        <x:v>15</x:v>
      </x:c>
      <x:c r="D141" t="n">
        <x:f>MAX(10,ROUNDDOWN((('Calculator'!$B$10+A141)*SQRT('Calculator'!$B$11+B141)*SQRT('Calculator'!$B$12+C141)*0.59740001^2)/10,0))</x:f>
        <x:v>2291</x:v>
      </x:c>
      <x:c r="E141" t="n">
        <x:f>MAX(10,ROUNDDOWN((('Calculator'!$B$10+A141)*SQRT('Calculator'!$B$11+B141)*SQRT('Calculator'!$B$12+C141)*0.667934^2)/10,0))</x:f>
        <x:v>2864</x:v>
      </x:c>
      <x:c r="F141" t="n">
        <x:f>--AND(A141&gt;='Calculator'!$B$5,B141&gt;='Calculator'!$B$5,C141&gt;='Calculator'!$B$5)</x:f>
        <x:v>1</x:v>
      </x:c>
      <x:c r="G141" t="n">
        <x:f>--AND(A141+'Calculator'!$B$6&gt;=15,B141+'Calculator'!$B$6&gt;=15,C141+'Calculator'!$B$6&gt;=15)</x:f>
        <x:v>0</x:v>
      </x:c>
      <x:c r="H141" t="n">
        <x:f>--AND(F141=1,D141='Calculator'!$B$4)</x:f>
        <x:v>0</x:v>
      </x:c>
      <x:c r="I141" t="n">
        <x:f>--AND(H141=1,G141=1)</x:f>
        <x:v>0</x:v>
      </x:c>
      <x:c r="J141" t="n">
        <x:f>--AND(F141=1,E141='Calculator'!$B$4)</x:f>
        <x:v>0</x:v>
      </x:c>
      <x:c r="K141" t="n">
        <x:f>--AND(J141=1,G141=1)</x:f>
        <x:v>0</x:v>
      </x:c>
      <x:c r="L141" t="str">
        <x:f>A141&amp;"/"&amp;B141&amp;"/"&amp;C141</x:f>
        <x:v>7/9/15</x:v>
      </x:c>
      <x:c r="M141" t="str">
        <x:f>MIN(15,A141+'Calculator'!$B$6)&amp;"/"&amp;MIN(15,B141+'Calculator'!$B$6)&amp;"/"&amp;MIN(15,C141+'Calculator'!$B$6)</x:f>
        <x:v>9/11/15</x:v>
      </x:c>
    </x:row>
    <x:row r="142">
      <x:c r="A142" t="n">
        <x:v>7</x:v>
      </x:c>
      <x:c r="B142" t="n">
        <x:v>10</x:v>
      </x:c>
      <x:c r="C142" t="n">
        <x:v>6</x:v>
      </x:c>
      <x:c r="D142" t="n">
        <x:f>MAX(10,ROUNDDOWN((('Calculator'!$B$10+A142)*SQRT('Calculator'!$B$11+B142)*SQRT('Calculator'!$B$12+C142)*0.59740001^2)/10,0))</x:f>
        <x:v>2251</x:v>
      </x:c>
      <x:c r="E142" t="n">
        <x:f>MAX(10,ROUNDDOWN((('Calculator'!$B$10+A142)*SQRT('Calculator'!$B$11+B142)*SQRT('Calculator'!$B$12+C142)*0.667934^2)/10,0))</x:f>
        <x:v>2814</x:v>
      </x:c>
      <x:c r="F142" t="n">
        <x:f>--AND(A142&gt;='Calculator'!$B$5,B142&gt;='Calculator'!$B$5,C142&gt;='Calculator'!$B$5)</x:f>
        <x:v>1</x:v>
      </x:c>
      <x:c r="G142" t="n">
        <x:f>--AND(A142+'Calculator'!$B$6&gt;=15,B142+'Calculator'!$B$6&gt;=15,C142+'Calculator'!$B$6&gt;=15)</x:f>
        <x:v>0</x:v>
      </x:c>
      <x:c r="H142" t="n">
        <x:f>--AND(F142=1,D142='Calculator'!$B$4)</x:f>
        <x:v>0</x:v>
      </x:c>
      <x:c r="I142" t="n">
        <x:f>--AND(H142=1,G142=1)</x:f>
        <x:v>0</x:v>
      </x:c>
      <x:c r="J142" t="n">
        <x:f>--AND(F142=1,E142='Calculator'!$B$4)</x:f>
        <x:v>0</x:v>
      </x:c>
      <x:c r="K142" t="n">
        <x:f>--AND(J142=1,G142=1)</x:f>
        <x:v>0</x:v>
      </x:c>
      <x:c r="L142" t="str">
        <x:f>A142&amp;"/"&amp;B142&amp;"/"&amp;C142</x:f>
        <x:v>7/10/6</x:v>
      </x:c>
      <x:c r="M142" t="str">
        <x:f>MIN(15,A142+'Calculator'!$B$6)&amp;"/"&amp;MIN(15,B142+'Calculator'!$B$6)&amp;"/"&amp;MIN(15,C142+'Calculator'!$B$6)</x:f>
        <x:v>9/12/8</x:v>
      </x:c>
    </x:row>
    <x:row r="143">
      <x:c r="A143" t="n">
        <x:v>7</x:v>
      </x:c>
      <x:c r="B143" t="n">
        <x:v>10</x:v>
      </x:c>
      <x:c r="C143" t="n">
        <x:v>7</x:v>
      </x:c>
      <x:c r="D143" t="n">
        <x:f>MAX(10,ROUNDDOWN((('Calculator'!$B$10+A143)*SQRT('Calculator'!$B$11+B143)*SQRT('Calculator'!$B$12+C143)*0.59740001^2)/10,0))</x:f>
        <x:v>2256</x:v>
      </x:c>
      <x:c r="E143" t="n">
        <x:f>MAX(10,ROUNDDOWN((('Calculator'!$B$10+A143)*SQRT('Calculator'!$B$11+B143)*SQRT('Calculator'!$B$12+C143)*0.667934^2)/10,0))</x:f>
        <x:v>2821</x:v>
      </x:c>
      <x:c r="F143" t="n">
        <x:f>--AND(A143&gt;='Calculator'!$B$5,B143&gt;='Calculator'!$B$5,C143&gt;='Calculator'!$B$5)</x:f>
        <x:v>1</x:v>
      </x:c>
      <x:c r="G143" t="n">
        <x:f>--AND(A143+'Calculator'!$B$6&gt;=15,B143+'Calculator'!$B$6&gt;=15,C143+'Calculator'!$B$6&gt;=15)</x:f>
        <x:v>0</x:v>
      </x:c>
      <x:c r="H143" t="n">
        <x:f>--AND(F143=1,D143='Calculator'!$B$4)</x:f>
        <x:v>0</x:v>
      </x:c>
      <x:c r="I143" t="n">
        <x:f>--AND(H143=1,G143=1)</x:f>
        <x:v>0</x:v>
      </x:c>
      <x:c r="J143" t="n">
        <x:f>--AND(F143=1,E143='Calculator'!$B$4)</x:f>
        <x:v>0</x:v>
      </x:c>
      <x:c r="K143" t="n">
        <x:f>--AND(J143=1,G143=1)</x:f>
        <x:v>0</x:v>
      </x:c>
      <x:c r="L143" t="str">
        <x:f>A143&amp;"/"&amp;B143&amp;"/"&amp;C143</x:f>
        <x:v>7/10/7</x:v>
      </x:c>
      <x:c r="M143" t="str">
        <x:f>MIN(15,A143+'Calculator'!$B$6)&amp;"/"&amp;MIN(15,B143+'Calculator'!$B$6)&amp;"/"&amp;MIN(15,C143+'Calculator'!$B$6)</x:f>
        <x:v>9/12/9</x:v>
      </x:c>
    </x:row>
    <x:row r="144">
      <x:c r="A144" t="n">
        <x:v>7</x:v>
      </x:c>
      <x:c r="B144" t="n">
        <x:v>10</x:v>
      </x:c>
      <x:c r="C144" t="n">
        <x:v>8</x:v>
      </x:c>
      <x:c r="D144" t="n">
        <x:f>MAX(10,ROUNDDOWN((('Calculator'!$B$10+A144)*SQRT('Calculator'!$B$11+B144)*SQRT('Calculator'!$B$12+C144)*0.59740001^2)/10,0))</x:f>
        <x:v>2262</x:v>
      </x:c>
      <x:c r="E144" t="n">
        <x:f>MAX(10,ROUNDDOWN((('Calculator'!$B$10+A144)*SQRT('Calculator'!$B$11+B144)*SQRT('Calculator'!$B$12+C144)*0.667934^2)/10,0))</x:f>
        <x:v>2827</x:v>
      </x:c>
      <x:c r="F144" t="n">
        <x:f>--AND(A144&gt;='Calculator'!$B$5,B144&gt;='Calculator'!$B$5,C144&gt;='Calculator'!$B$5)</x:f>
        <x:v>1</x:v>
      </x:c>
      <x:c r="G144" t="n">
        <x:f>--AND(A144+'Calculator'!$B$6&gt;=15,B144+'Calculator'!$B$6&gt;=15,C144+'Calculator'!$B$6&gt;=15)</x:f>
        <x:v>0</x:v>
      </x:c>
      <x:c r="H144" t="n">
        <x:f>--AND(F144=1,D144='Calculator'!$B$4)</x:f>
        <x:v>0</x:v>
      </x:c>
      <x:c r="I144" t="n">
        <x:f>--AND(H144=1,G144=1)</x:f>
        <x:v>0</x:v>
      </x:c>
      <x:c r="J144" t="n">
        <x:f>--AND(F144=1,E144='Calculator'!$B$4)</x:f>
        <x:v>0</x:v>
      </x:c>
      <x:c r="K144" t="n">
        <x:f>--AND(J144=1,G144=1)</x:f>
        <x:v>0</x:v>
      </x:c>
      <x:c r="L144" t="str">
        <x:f>A144&amp;"/"&amp;B144&amp;"/"&amp;C144</x:f>
        <x:v>7/10/8</x:v>
      </x:c>
      <x:c r="M144" t="str">
        <x:f>MIN(15,A144+'Calculator'!$B$6)&amp;"/"&amp;MIN(15,B144+'Calculator'!$B$6)&amp;"/"&amp;MIN(15,C144+'Calculator'!$B$6)</x:f>
        <x:v>9/12/10</x:v>
      </x:c>
    </x:row>
    <x:row r="145">
      <x:c r="A145" t="n">
        <x:v>7</x:v>
      </x:c>
      <x:c r="B145" t="n">
        <x:v>10</x:v>
      </x:c>
      <x:c r="C145" t="n">
        <x:v>9</x:v>
      </x:c>
      <x:c r="D145" t="n">
        <x:f>MAX(10,ROUNDDOWN((('Calculator'!$B$10+A145)*SQRT('Calculator'!$B$11+B145)*SQRT('Calculator'!$B$12+C145)*0.59740001^2)/10,0))</x:f>
        <x:v>2267</x:v>
      </x:c>
      <x:c r="E145" t="n">
        <x:f>MAX(10,ROUNDDOWN((('Calculator'!$B$10+A145)*SQRT('Calculator'!$B$11+B145)*SQRT('Calculator'!$B$12+C145)*0.667934^2)/10,0))</x:f>
        <x:v>2834</x:v>
      </x:c>
      <x:c r="F145" t="n">
        <x:f>--AND(A145&gt;='Calculator'!$B$5,B145&gt;='Calculator'!$B$5,C145&gt;='Calculator'!$B$5)</x:f>
        <x:v>1</x:v>
      </x:c>
      <x:c r="G145" t="n">
        <x:f>--AND(A145+'Calculator'!$B$6&gt;=15,B145+'Calculator'!$B$6&gt;=15,C145+'Calculator'!$B$6&gt;=15)</x:f>
        <x:v>0</x:v>
      </x:c>
      <x:c r="H145" t="n">
        <x:f>--AND(F145=1,D145='Calculator'!$B$4)</x:f>
        <x:v>0</x:v>
      </x:c>
      <x:c r="I145" t="n">
        <x:f>--AND(H145=1,G145=1)</x:f>
        <x:v>0</x:v>
      </x:c>
      <x:c r="J145" t="n">
        <x:f>--AND(F145=1,E145='Calculator'!$B$4)</x:f>
        <x:v>0</x:v>
      </x:c>
      <x:c r="K145" t="n">
        <x:f>--AND(J145=1,G145=1)</x:f>
        <x:v>0</x:v>
      </x:c>
      <x:c r="L145" t="str">
        <x:f>A145&amp;"/"&amp;B145&amp;"/"&amp;C145</x:f>
        <x:v>7/10/9</x:v>
      </x:c>
      <x:c r="M145" t="str">
        <x:f>MIN(15,A145+'Calculator'!$B$6)&amp;"/"&amp;MIN(15,B145+'Calculator'!$B$6)&amp;"/"&amp;MIN(15,C145+'Calculator'!$B$6)</x:f>
        <x:v>9/12/11</x:v>
      </x:c>
    </x:row>
    <x:row r="146">
      <x:c r="A146" t="n">
        <x:v>7</x:v>
      </x:c>
      <x:c r="B146" t="n">
        <x:v>10</x:v>
      </x:c>
      <x:c r="C146" t="n">
        <x:v>10</x:v>
      </x:c>
      <x:c r="D146" t="n">
        <x:f>MAX(10,ROUNDDOWN((('Calculator'!$B$10+A146)*SQRT('Calculator'!$B$11+B146)*SQRT('Calculator'!$B$12+C146)*0.59740001^2)/10,0))</x:f>
        <x:v>2272</x:v>
      </x:c>
      <x:c r="E146" t="n">
        <x:f>MAX(10,ROUNDDOWN((('Calculator'!$B$10+A146)*SQRT('Calculator'!$B$11+B146)*SQRT('Calculator'!$B$12+C146)*0.667934^2)/10,0))</x:f>
        <x:v>2840</x:v>
      </x:c>
      <x:c r="F146" t="n">
        <x:f>--AND(A146&gt;='Calculator'!$B$5,B146&gt;='Calculator'!$B$5,C146&gt;='Calculator'!$B$5)</x:f>
        <x:v>1</x:v>
      </x:c>
      <x:c r="G146" t="n">
        <x:f>--AND(A146+'Calculator'!$B$6&gt;=15,B146+'Calculator'!$B$6&gt;=15,C146+'Calculator'!$B$6&gt;=15)</x:f>
        <x:v>0</x:v>
      </x:c>
      <x:c r="H146" t="n">
        <x:f>--AND(F146=1,D146='Calculator'!$B$4)</x:f>
        <x:v>0</x:v>
      </x:c>
      <x:c r="I146" t="n">
        <x:f>--AND(H146=1,G146=1)</x:f>
        <x:v>0</x:v>
      </x:c>
      <x:c r="J146" t="n">
        <x:f>--AND(F146=1,E146='Calculator'!$B$4)</x:f>
        <x:v>0</x:v>
      </x:c>
      <x:c r="K146" t="n">
        <x:f>--AND(J146=1,G146=1)</x:f>
        <x:v>0</x:v>
      </x:c>
      <x:c r="L146" t="str">
        <x:f>A146&amp;"/"&amp;B146&amp;"/"&amp;C146</x:f>
        <x:v>7/10/10</x:v>
      </x:c>
      <x:c r="M146" t="str">
        <x:f>MIN(15,A146+'Calculator'!$B$6)&amp;"/"&amp;MIN(15,B146+'Calculator'!$B$6)&amp;"/"&amp;MIN(15,C146+'Calculator'!$B$6)</x:f>
        <x:v>9/12/12</x:v>
      </x:c>
    </x:row>
    <x:row r="147">
      <x:c r="A147" t="n">
        <x:v>7</x:v>
      </x:c>
      <x:c r="B147" t="n">
        <x:v>10</x:v>
      </x:c>
      <x:c r="C147" t="n">
        <x:v>11</x:v>
      </x:c>
      <x:c r="D147" t="n">
        <x:f>MAX(10,ROUNDDOWN((('Calculator'!$B$10+A147)*SQRT('Calculator'!$B$11+B147)*SQRT('Calculator'!$B$12+C147)*0.59740001^2)/10,0))</x:f>
        <x:v>2277</x:v>
      </x:c>
      <x:c r="E147" t="n">
        <x:f>MAX(10,ROUNDDOWN((('Calculator'!$B$10+A147)*SQRT('Calculator'!$B$11+B147)*SQRT('Calculator'!$B$12+C147)*0.667934^2)/10,0))</x:f>
        <x:v>2846</x:v>
      </x:c>
      <x:c r="F147" t="n">
        <x:f>--AND(A147&gt;='Calculator'!$B$5,B147&gt;='Calculator'!$B$5,C147&gt;='Calculator'!$B$5)</x:f>
        <x:v>1</x:v>
      </x:c>
      <x:c r="G147" t="n">
        <x:f>--AND(A147+'Calculator'!$B$6&gt;=15,B147+'Calculator'!$B$6&gt;=15,C147+'Calculator'!$B$6&gt;=15)</x:f>
        <x:v>0</x:v>
      </x:c>
      <x:c r="H147" t="n">
        <x:f>--AND(F147=1,D147='Calculator'!$B$4)</x:f>
        <x:v>0</x:v>
      </x:c>
      <x:c r="I147" t="n">
        <x:f>--AND(H147=1,G147=1)</x:f>
        <x:v>0</x:v>
      </x:c>
      <x:c r="J147" t="n">
        <x:f>--AND(F147=1,E147='Calculator'!$B$4)</x:f>
        <x:v>0</x:v>
      </x:c>
      <x:c r="K147" t="n">
        <x:f>--AND(J147=1,G147=1)</x:f>
        <x:v>0</x:v>
      </x:c>
      <x:c r="L147" t="str">
        <x:f>A147&amp;"/"&amp;B147&amp;"/"&amp;C147</x:f>
        <x:v>7/10/11</x:v>
      </x:c>
      <x:c r="M147" t="str">
        <x:f>MIN(15,A147+'Calculator'!$B$6)&amp;"/"&amp;MIN(15,B147+'Calculator'!$B$6)&amp;"/"&amp;MIN(15,C147+'Calculator'!$B$6)</x:f>
        <x:v>9/12/13</x:v>
      </x:c>
    </x:row>
    <x:row r="148">
      <x:c r="A148" t="n">
        <x:v>7</x:v>
      </x:c>
      <x:c r="B148" t="n">
        <x:v>10</x:v>
      </x:c>
      <x:c r="C148" t="n">
        <x:v>12</x:v>
      </x:c>
      <x:c r="D148" t="n">
        <x:f>MAX(10,ROUNDDOWN((('Calculator'!$B$10+A148)*SQRT('Calculator'!$B$11+B148)*SQRT('Calculator'!$B$12+C148)*0.59740001^2)/10,0))</x:f>
        <x:v>2282</x:v>
      </x:c>
      <x:c r="E148" t="n">
        <x:f>MAX(10,ROUNDDOWN((('Calculator'!$B$10+A148)*SQRT('Calculator'!$B$11+B148)*SQRT('Calculator'!$B$12+C148)*0.667934^2)/10,0))</x:f>
        <x:v>2853</x:v>
      </x:c>
      <x:c r="F148" t="n">
        <x:f>--AND(A148&gt;='Calculator'!$B$5,B148&gt;='Calculator'!$B$5,C148&gt;='Calculator'!$B$5)</x:f>
        <x:v>1</x:v>
      </x:c>
      <x:c r="G148" t="n">
        <x:f>--AND(A148+'Calculator'!$B$6&gt;=15,B148+'Calculator'!$B$6&gt;=15,C148+'Calculator'!$B$6&gt;=15)</x:f>
        <x:v>0</x:v>
      </x:c>
      <x:c r="H148" t="n">
        <x:f>--AND(F148=1,D148='Calculator'!$B$4)</x:f>
        <x:v>0</x:v>
      </x:c>
      <x:c r="I148" t="n">
        <x:f>--AND(H148=1,G148=1)</x:f>
        <x:v>0</x:v>
      </x:c>
      <x:c r="J148" t="n">
        <x:f>--AND(F148=1,E148='Calculator'!$B$4)</x:f>
        <x:v>0</x:v>
      </x:c>
      <x:c r="K148" t="n">
        <x:f>--AND(J148=1,G148=1)</x:f>
        <x:v>0</x:v>
      </x:c>
      <x:c r="L148" t="str">
        <x:f>A148&amp;"/"&amp;B148&amp;"/"&amp;C148</x:f>
        <x:v>7/10/12</x:v>
      </x:c>
      <x:c r="M148" t="str">
        <x:f>MIN(15,A148+'Calculator'!$B$6)&amp;"/"&amp;MIN(15,B148+'Calculator'!$B$6)&amp;"/"&amp;MIN(15,C148+'Calculator'!$B$6)</x:f>
        <x:v>9/12/14</x:v>
      </x:c>
    </x:row>
    <x:row r="149">
      <x:c r="A149" t="n">
        <x:v>7</x:v>
      </x:c>
      <x:c r="B149" t="n">
        <x:v>10</x:v>
      </x:c>
      <x:c r="C149" t="n">
        <x:v>13</x:v>
      </x:c>
      <x:c r="D149" t="n">
        <x:f>MAX(10,ROUNDDOWN((('Calculator'!$B$10+A149)*SQRT('Calculator'!$B$11+B149)*SQRT('Calculator'!$B$12+C149)*0.59740001^2)/10,0))</x:f>
        <x:v>2287</x:v>
      </x:c>
      <x:c r="E149" t="n">
        <x:f>MAX(10,ROUNDDOWN((('Calculator'!$B$10+A149)*SQRT('Calculator'!$B$11+B149)*SQRT('Calculator'!$B$12+C149)*0.667934^2)/10,0))</x:f>
        <x:v>2859</x:v>
      </x:c>
      <x:c r="F149" t="n">
        <x:f>--AND(A149&gt;='Calculator'!$B$5,B149&gt;='Calculator'!$B$5,C149&gt;='Calculator'!$B$5)</x:f>
        <x:v>1</x:v>
      </x:c>
      <x:c r="G149" t="n">
        <x:f>--AND(A149+'Calculator'!$B$6&gt;=15,B149+'Calculator'!$B$6&gt;=15,C149+'Calculator'!$B$6&gt;=15)</x:f>
        <x:v>0</x:v>
      </x:c>
      <x:c r="H149" t="n">
        <x:f>--AND(F149=1,D149='Calculator'!$B$4)</x:f>
        <x:v>0</x:v>
      </x:c>
      <x:c r="I149" t="n">
        <x:f>--AND(H149=1,G149=1)</x:f>
        <x:v>0</x:v>
      </x:c>
      <x:c r="J149" t="n">
        <x:f>--AND(F149=1,E149='Calculator'!$B$4)</x:f>
        <x:v>0</x:v>
      </x:c>
      <x:c r="K149" t="n">
        <x:f>--AND(J149=1,G149=1)</x:f>
        <x:v>0</x:v>
      </x:c>
      <x:c r="L149" t="str">
        <x:f>A149&amp;"/"&amp;B149&amp;"/"&amp;C149</x:f>
        <x:v>7/10/13</x:v>
      </x:c>
      <x:c r="M149" t="str">
        <x:f>MIN(15,A149+'Calculator'!$B$6)&amp;"/"&amp;MIN(15,B149+'Calculator'!$B$6)&amp;"/"&amp;MIN(15,C149+'Calculator'!$B$6)</x:f>
        <x:v>9/12/15</x:v>
      </x:c>
    </x:row>
    <x:row r="150">
      <x:c r="A150" t="n">
        <x:v>7</x:v>
      </x:c>
      <x:c r="B150" t="n">
        <x:v>10</x:v>
      </x:c>
      <x:c r="C150" t="n">
        <x:v>14</x:v>
      </x:c>
      <x:c r="D150" t="n">
        <x:f>MAX(10,ROUNDDOWN((('Calculator'!$B$10+A150)*SQRT('Calculator'!$B$11+B150)*SQRT('Calculator'!$B$12+C150)*0.59740001^2)/10,0))</x:f>
        <x:v>2292</x:v>
      </x:c>
      <x:c r="E150" t="n">
        <x:f>MAX(10,ROUNDDOWN((('Calculator'!$B$10+A150)*SQRT('Calculator'!$B$11+B150)*SQRT('Calculator'!$B$12+C150)*0.667934^2)/10,0))</x:f>
        <x:v>2865</x:v>
      </x:c>
      <x:c r="F150" t="n">
        <x:f>--AND(A150&gt;='Calculator'!$B$5,B150&gt;='Calculator'!$B$5,C150&gt;='Calculator'!$B$5)</x:f>
        <x:v>1</x:v>
      </x:c>
      <x:c r="G150" t="n">
        <x:f>--AND(A150+'Calculator'!$B$6&gt;=15,B150+'Calculator'!$B$6&gt;=15,C150+'Calculator'!$B$6&gt;=15)</x:f>
        <x:v>0</x:v>
      </x:c>
      <x:c r="H150" t="n">
        <x:f>--AND(F150=1,D150='Calculator'!$B$4)</x:f>
        <x:v>0</x:v>
      </x:c>
      <x:c r="I150" t="n">
        <x:f>--AND(H150=1,G150=1)</x:f>
        <x:v>0</x:v>
      </x:c>
      <x:c r="J150" t="n">
        <x:f>--AND(F150=1,E150='Calculator'!$B$4)</x:f>
        <x:v>0</x:v>
      </x:c>
      <x:c r="K150" t="n">
        <x:f>--AND(J150=1,G150=1)</x:f>
        <x:v>0</x:v>
      </x:c>
      <x:c r="L150" t="str">
        <x:f>A150&amp;"/"&amp;B150&amp;"/"&amp;C150</x:f>
        <x:v>7/10/14</x:v>
      </x:c>
      <x:c r="M150" t="str">
        <x:f>MIN(15,A150+'Calculator'!$B$6)&amp;"/"&amp;MIN(15,B150+'Calculator'!$B$6)&amp;"/"&amp;MIN(15,C150+'Calculator'!$B$6)</x:f>
        <x:v>9/12/15</x:v>
      </x:c>
    </x:row>
    <x:row r="151">
      <x:c r="A151" t="n">
        <x:v>7</x:v>
      </x:c>
      <x:c r="B151" t="n">
        <x:v>10</x:v>
      </x:c>
      <x:c r="C151" t="n">
        <x:v>15</x:v>
      </x:c>
      <x:c r="D151" t="n">
        <x:f>MAX(10,ROUNDDOWN((('Calculator'!$B$10+A151)*SQRT('Calculator'!$B$11+B151)*SQRT('Calculator'!$B$12+C151)*0.59740001^2)/10,0))</x:f>
        <x:v>2297</x:v>
      </x:c>
      <x:c r="E151" t="n">
        <x:f>MAX(10,ROUNDDOWN((('Calculator'!$B$10+A151)*SQRT('Calculator'!$B$11+B151)*SQRT('Calculator'!$B$12+C151)*0.667934^2)/10,0))</x:f>
        <x:v>2871</x:v>
      </x:c>
      <x:c r="F151" t="n">
        <x:f>--AND(A151&gt;='Calculator'!$B$5,B151&gt;='Calculator'!$B$5,C151&gt;='Calculator'!$B$5)</x:f>
        <x:v>1</x:v>
      </x:c>
      <x:c r="G151" t="n">
        <x:f>--AND(A151+'Calculator'!$B$6&gt;=15,B151+'Calculator'!$B$6&gt;=15,C151+'Calculator'!$B$6&gt;=15)</x:f>
        <x:v>0</x:v>
      </x:c>
      <x:c r="H151" t="n">
        <x:f>--AND(F151=1,D151='Calculator'!$B$4)</x:f>
        <x:v>0</x:v>
      </x:c>
      <x:c r="I151" t="n">
        <x:f>--AND(H151=1,G151=1)</x:f>
        <x:v>0</x:v>
      </x:c>
      <x:c r="J151" t="n">
        <x:f>--AND(F151=1,E151='Calculator'!$B$4)</x:f>
        <x:v>0</x:v>
      </x:c>
      <x:c r="K151" t="n">
        <x:f>--AND(J151=1,G151=1)</x:f>
        <x:v>0</x:v>
      </x:c>
      <x:c r="L151" t="str">
        <x:f>A151&amp;"/"&amp;B151&amp;"/"&amp;C151</x:f>
        <x:v>7/10/15</x:v>
      </x:c>
      <x:c r="M151" t="str">
        <x:f>MIN(15,A151+'Calculator'!$B$6)&amp;"/"&amp;MIN(15,B151+'Calculator'!$B$6)&amp;"/"&amp;MIN(15,C151+'Calculator'!$B$6)</x:f>
        <x:v>9/12/15</x:v>
      </x:c>
    </x:row>
    <x:row r="152">
      <x:c r="A152" t="n">
        <x:v>7</x:v>
      </x:c>
      <x:c r="B152" t="n">
        <x:v>11</x:v>
      </x:c>
      <x:c r="C152" t="n">
        <x:v>6</x:v>
      </x:c>
      <x:c r="D152" t="n">
        <x:f>MAX(10,ROUNDDOWN((('Calculator'!$B$10+A152)*SQRT('Calculator'!$B$11+B152)*SQRT('Calculator'!$B$12+C152)*0.59740001^2)/10,0))</x:f>
        <x:v>2257</x:v>
      </x:c>
      <x:c r="E152" t="n">
        <x:f>MAX(10,ROUNDDOWN((('Calculator'!$B$10+A152)*SQRT('Calculator'!$B$11+B152)*SQRT('Calculator'!$B$12+C152)*0.667934^2)/10,0))</x:f>
        <x:v>2822</x:v>
      </x:c>
      <x:c r="F152" t="n">
        <x:f>--AND(A152&gt;='Calculator'!$B$5,B152&gt;='Calculator'!$B$5,C152&gt;='Calculator'!$B$5)</x:f>
        <x:v>1</x:v>
      </x:c>
      <x:c r="G152" t="n">
        <x:f>--AND(A152+'Calculator'!$B$6&gt;=15,B152+'Calculator'!$B$6&gt;=15,C152+'Calculator'!$B$6&gt;=15)</x:f>
        <x:v>0</x:v>
      </x:c>
      <x:c r="H152" t="n">
        <x:f>--AND(F152=1,D152='Calculator'!$B$4)</x:f>
        <x:v>0</x:v>
      </x:c>
      <x:c r="I152" t="n">
        <x:f>--AND(H152=1,G152=1)</x:f>
        <x:v>0</x:v>
      </x:c>
      <x:c r="J152" t="n">
        <x:f>--AND(F152=1,E152='Calculator'!$B$4)</x:f>
        <x:v>0</x:v>
      </x:c>
      <x:c r="K152" t="n">
        <x:f>--AND(J152=1,G152=1)</x:f>
        <x:v>0</x:v>
      </x:c>
      <x:c r="L152" t="str">
        <x:f>A152&amp;"/"&amp;B152&amp;"/"&amp;C152</x:f>
        <x:v>7/11/6</x:v>
      </x:c>
      <x:c r="M152" t="str">
        <x:f>MIN(15,A152+'Calculator'!$B$6)&amp;"/"&amp;MIN(15,B152+'Calculator'!$B$6)&amp;"/"&amp;MIN(15,C152+'Calculator'!$B$6)</x:f>
        <x:v>9/13/8</x:v>
      </x:c>
    </x:row>
    <x:row r="153">
      <x:c r="A153" t="n">
        <x:v>7</x:v>
      </x:c>
      <x:c r="B153" t="n">
        <x:v>11</x:v>
      </x:c>
      <x:c r="C153" t="n">
        <x:v>7</x:v>
      </x:c>
      <x:c r="D153" t="n">
        <x:f>MAX(10,ROUNDDOWN((('Calculator'!$B$10+A153)*SQRT('Calculator'!$B$11+B153)*SQRT('Calculator'!$B$12+C153)*0.59740001^2)/10,0))</x:f>
        <x:v>2262</x:v>
      </x:c>
      <x:c r="E153" t="n">
        <x:f>MAX(10,ROUNDDOWN((('Calculator'!$B$10+A153)*SQRT('Calculator'!$B$11+B153)*SQRT('Calculator'!$B$12+C153)*0.667934^2)/10,0))</x:f>
        <x:v>2828</x:v>
      </x:c>
      <x:c r="F153" t="n">
        <x:f>--AND(A153&gt;='Calculator'!$B$5,B153&gt;='Calculator'!$B$5,C153&gt;='Calculator'!$B$5)</x:f>
        <x:v>1</x:v>
      </x:c>
      <x:c r="G153" t="n">
        <x:f>--AND(A153+'Calculator'!$B$6&gt;=15,B153+'Calculator'!$B$6&gt;=15,C153+'Calculator'!$B$6&gt;=15)</x:f>
        <x:v>0</x:v>
      </x:c>
      <x:c r="H153" t="n">
        <x:f>--AND(F153=1,D153='Calculator'!$B$4)</x:f>
        <x:v>0</x:v>
      </x:c>
      <x:c r="I153" t="n">
        <x:f>--AND(H153=1,G153=1)</x:f>
        <x:v>0</x:v>
      </x:c>
      <x:c r="J153" t="n">
        <x:f>--AND(F153=1,E153='Calculator'!$B$4)</x:f>
        <x:v>0</x:v>
      </x:c>
      <x:c r="K153" t="n">
        <x:f>--AND(J153=1,G153=1)</x:f>
        <x:v>0</x:v>
      </x:c>
      <x:c r="L153" t="str">
        <x:f>A153&amp;"/"&amp;B153&amp;"/"&amp;C153</x:f>
        <x:v>7/11/7</x:v>
      </x:c>
      <x:c r="M153" t="str">
        <x:f>MIN(15,A153+'Calculator'!$B$6)&amp;"/"&amp;MIN(15,B153+'Calculator'!$B$6)&amp;"/"&amp;MIN(15,C153+'Calculator'!$B$6)</x:f>
        <x:v>9/13/9</x:v>
      </x:c>
    </x:row>
    <x:row r="154">
      <x:c r="A154" t="n">
        <x:v>7</x:v>
      </x:c>
      <x:c r="B154" t="n">
        <x:v>11</x:v>
      </x:c>
      <x:c r="C154" t="n">
        <x:v>8</x:v>
      </x:c>
      <x:c r="D154" t="n">
        <x:f>MAX(10,ROUNDDOWN((('Calculator'!$B$10+A154)*SQRT('Calculator'!$B$11+B154)*SQRT('Calculator'!$B$12+C154)*0.59740001^2)/10,0))</x:f>
        <x:v>2267</x:v>
      </x:c>
      <x:c r="E154" t="n">
        <x:f>MAX(10,ROUNDDOWN((('Calculator'!$B$10+A154)*SQRT('Calculator'!$B$11+B154)*SQRT('Calculator'!$B$12+C154)*0.667934^2)/10,0))</x:f>
        <x:v>2835</x:v>
      </x:c>
      <x:c r="F154" t="n">
        <x:f>--AND(A154&gt;='Calculator'!$B$5,B154&gt;='Calculator'!$B$5,C154&gt;='Calculator'!$B$5)</x:f>
        <x:v>1</x:v>
      </x:c>
      <x:c r="G154" t="n">
        <x:f>--AND(A154+'Calculator'!$B$6&gt;=15,B154+'Calculator'!$B$6&gt;=15,C154+'Calculator'!$B$6&gt;=15)</x:f>
        <x:v>0</x:v>
      </x:c>
      <x:c r="H154" t="n">
        <x:f>--AND(F154=1,D154='Calculator'!$B$4)</x:f>
        <x:v>0</x:v>
      </x:c>
      <x:c r="I154" t="n">
        <x:f>--AND(H154=1,G154=1)</x:f>
        <x:v>0</x:v>
      </x:c>
      <x:c r="J154" t="n">
        <x:f>--AND(F154=1,E154='Calculator'!$B$4)</x:f>
        <x:v>0</x:v>
      </x:c>
      <x:c r="K154" t="n">
        <x:f>--AND(J154=1,G154=1)</x:f>
        <x:v>0</x:v>
      </x:c>
      <x:c r="L154" t="str">
        <x:f>A154&amp;"/"&amp;B154&amp;"/"&amp;C154</x:f>
        <x:v>7/11/8</x:v>
      </x:c>
      <x:c r="M154" t="str">
        <x:f>MIN(15,A154+'Calculator'!$B$6)&amp;"/"&amp;MIN(15,B154+'Calculator'!$B$6)&amp;"/"&amp;MIN(15,C154+'Calculator'!$B$6)</x:f>
        <x:v>9/13/10</x:v>
      </x:c>
    </x:row>
    <x:row r="155">
      <x:c r="A155" t="n">
        <x:v>7</x:v>
      </x:c>
      <x:c r="B155" t="n">
        <x:v>11</x:v>
      </x:c>
      <x:c r="C155" t="n">
        <x:v>9</x:v>
      </x:c>
      <x:c r="D155" t="n">
        <x:f>MAX(10,ROUNDDOWN((('Calculator'!$B$10+A155)*SQRT('Calculator'!$B$11+B155)*SQRT('Calculator'!$B$12+C155)*0.59740001^2)/10,0))</x:f>
        <x:v>2273</x:v>
      </x:c>
      <x:c r="E155" t="n">
        <x:f>MAX(10,ROUNDDOWN((('Calculator'!$B$10+A155)*SQRT('Calculator'!$B$11+B155)*SQRT('Calculator'!$B$12+C155)*0.667934^2)/10,0))</x:f>
        <x:v>2841</x:v>
      </x:c>
      <x:c r="F155" t="n">
        <x:f>--AND(A155&gt;='Calculator'!$B$5,B155&gt;='Calculator'!$B$5,C155&gt;='Calculator'!$B$5)</x:f>
        <x:v>1</x:v>
      </x:c>
      <x:c r="G155" t="n">
        <x:f>--AND(A155+'Calculator'!$B$6&gt;=15,B155+'Calculator'!$B$6&gt;=15,C155+'Calculator'!$B$6&gt;=15)</x:f>
        <x:v>0</x:v>
      </x:c>
      <x:c r="H155" t="n">
        <x:f>--AND(F155=1,D155='Calculator'!$B$4)</x:f>
        <x:v>0</x:v>
      </x:c>
      <x:c r="I155" t="n">
        <x:f>--AND(H155=1,G155=1)</x:f>
        <x:v>0</x:v>
      </x:c>
      <x:c r="J155" t="n">
        <x:f>--AND(F155=1,E155='Calculator'!$B$4)</x:f>
        <x:v>0</x:v>
      </x:c>
      <x:c r="K155" t="n">
        <x:f>--AND(J155=1,G155=1)</x:f>
        <x:v>0</x:v>
      </x:c>
      <x:c r="L155" t="str">
        <x:f>A155&amp;"/"&amp;B155&amp;"/"&amp;C155</x:f>
        <x:v>7/11/9</x:v>
      </x:c>
      <x:c r="M155" t="str">
        <x:f>MIN(15,A155+'Calculator'!$B$6)&amp;"/"&amp;MIN(15,B155+'Calculator'!$B$6)&amp;"/"&amp;MIN(15,C155+'Calculator'!$B$6)</x:f>
        <x:v>9/13/11</x:v>
      </x:c>
    </x:row>
    <x:row r="156">
      <x:c r="A156" t="n">
        <x:v>7</x:v>
      </x:c>
      <x:c r="B156" t="n">
        <x:v>11</x:v>
      </x:c>
      <x:c r="C156" t="n">
        <x:v>10</x:v>
      </x:c>
      <x:c r="D156" t="n">
        <x:f>MAX(10,ROUNDDOWN((('Calculator'!$B$10+A156)*SQRT('Calculator'!$B$11+B156)*SQRT('Calculator'!$B$12+C156)*0.59740001^2)/10,0))</x:f>
        <x:v>2278</x:v>
      </x:c>
      <x:c r="E156" t="n">
        <x:f>MAX(10,ROUNDDOWN((('Calculator'!$B$10+A156)*SQRT('Calculator'!$B$11+B156)*SQRT('Calculator'!$B$12+C156)*0.667934^2)/10,0))</x:f>
        <x:v>2847</x:v>
      </x:c>
      <x:c r="F156" t="n">
        <x:f>--AND(A156&gt;='Calculator'!$B$5,B156&gt;='Calculator'!$B$5,C156&gt;='Calculator'!$B$5)</x:f>
        <x:v>1</x:v>
      </x:c>
      <x:c r="G156" t="n">
        <x:f>--AND(A156+'Calculator'!$B$6&gt;=15,B156+'Calculator'!$B$6&gt;=15,C156+'Calculator'!$B$6&gt;=15)</x:f>
        <x:v>0</x:v>
      </x:c>
      <x:c r="H156" t="n">
        <x:f>--AND(F156=1,D156='Calculator'!$B$4)</x:f>
        <x:v>0</x:v>
      </x:c>
      <x:c r="I156" t="n">
        <x:f>--AND(H156=1,G156=1)</x:f>
        <x:v>0</x:v>
      </x:c>
      <x:c r="J156" t="n">
        <x:f>--AND(F156=1,E156='Calculator'!$B$4)</x:f>
        <x:v>0</x:v>
      </x:c>
      <x:c r="K156" t="n">
        <x:f>--AND(J156=1,G156=1)</x:f>
        <x:v>0</x:v>
      </x:c>
      <x:c r="L156" t="str">
        <x:f>A156&amp;"/"&amp;B156&amp;"/"&amp;C156</x:f>
        <x:v>7/11/10</x:v>
      </x:c>
      <x:c r="M156" t="str">
        <x:f>MIN(15,A156+'Calculator'!$B$6)&amp;"/"&amp;MIN(15,B156+'Calculator'!$B$6)&amp;"/"&amp;MIN(15,C156+'Calculator'!$B$6)</x:f>
        <x:v>9/13/12</x:v>
      </x:c>
    </x:row>
    <x:row r="157">
      <x:c r="A157" t="n">
        <x:v>7</x:v>
      </x:c>
      <x:c r="B157" t="n">
        <x:v>11</x:v>
      </x:c>
      <x:c r="C157" t="n">
        <x:v>11</x:v>
      </x:c>
      <x:c r="D157" t="n">
        <x:f>MAX(10,ROUNDDOWN((('Calculator'!$B$10+A157)*SQRT('Calculator'!$B$11+B157)*SQRT('Calculator'!$B$12+C157)*0.59740001^2)/10,0))</x:f>
        <x:v>2283</x:v>
      </x:c>
      <x:c r="E157" t="n">
        <x:f>MAX(10,ROUNDDOWN((('Calculator'!$B$10+A157)*SQRT('Calculator'!$B$11+B157)*SQRT('Calculator'!$B$12+C157)*0.667934^2)/10,0))</x:f>
        <x:v>2854</x:v>
      </x:c>
      <x:c r="F157" t="n">
        <x:f>--AND(A157&gt;='Calculator'!$B$5,B157&gt;='Calculator'!$B$5,C157&gt;='Calculator'!$B$5)</x:f>
        <x:v>1</x:v>
      </x:c>
      <x:c r="G157" t="n">
        <x:f>--AND(A157+'Calculator'!$B$6&gt;=15,B157+'Calculator'!$B$6&gt;=15,C157+'Calculator'!$B$6&gt;=15)</x:f>
        <x:v>0</x:v>
      </x:c>
      <x:c r="H157" t="n">
        <x:f>--AND(F157=1,D157='Calculator'!$B$4)</x:f>
        <x:v>0</x:v>
      </x:c>
      <x:c r="I157" t="n">
        <x:f>--AND(H157=1,G157=1)</x:f>
        <x:v>0</x:v>
      </x:c>
      <x:c r="J157" t="n">
        <x:f>--AND(F157=1,E157='Calculator'!$B$4)</x:f>
        <x:v>0</x:v>
      </x:c>
      <x:c r="K157" t="n">
        <x:f>--AND(J157=1,G157=1)</x:f>
        <x:v>0</x:v>
      </x:c>
      <x:c r="L157" t="str">
        <x:f>A157&amp;"/"&amp;B157&amp;"/"&amp;C157</x:f>
        <x:v>7/11/11</x:v>
      </x:c>
      <x:c r="M157" t="str">
        <x:f>MIN(15,A157+'Calculator'!$B$6)&amp;"/"&amp;MIN(15,B157+'Calculator'!$B$6)&amp;"/"&amp;MIN(15,C157+'Calculator'!$B$6)</x:f>
        <x:v>9/13/13</x:v>
      </x:c>
    </x:row>
    <x:row r="158">
      <x:c r="A158" t="n">
        <x:v>7</x:v>
      </x:c>
      <x:c r="B158" t="n">
        <x:v>11</x:v>
      </x:c>
      <x:c r="C158" t="n">
        <x:v>12</x:v>
      </x:c>
      <x:c r="D158" t="n">
        <x:f>MAX(10,ROUNDDOWN((('Calculator'!$B$10+A158)*SQRT('Calculator'!$B$11+B158)*SQRT('Calculator'!$B$12+C158)*0.59740001^2)/10,0))</x:f>
        <x:v>2288</x:v>
      </x:c>
      <x:c r="E158" t="n">
        <x:f>MAX(10,ROUNDDOWN((('Calculator'!$B$10+A158)*SQRT('Calculator'!$B$11+B158)*SQRT('Calculator'!$B$12+C158)*0.667934^2)/10,0))</x:f>
        <x:v>2860</x:v>
      </x:c>
      <x:c r="F158" t="n">
        <x:f>--AND(A158&gt;='Calculator'!$B$5,B158&gt;='Calculator'!$B$5,C158&gt;='Calculator'!$B$5)</x:f>
        <x:v>1</x:v>
      </x:c>
      <x:c r="G158" t="n">
        <x:f>--AND(A158+'Calculator'!$B$6&gt;=15,B158+'Calculator'!$B$6&gt;=15,C158+'Calculator'!$B$6&gt;=15)</x:f>
        <x:v>0</x:v>
      </x:c>
      <x:c r="H158" t="n">
        <x:f>--AND(F158=1,D158='Calculator'!$B$4)</x:f>
        <x:v>0</x:v>
      </x:c>
      <x:c r="I158" t="n">
        <x:f>--AND(H158=1,G158=1)</x:f>
        <x:v>0</x:v>
      </x:c>
      <x:c r="J158" t="n">
        <x:f>--AND(F158=1,E158='Calculator'!$B$4)</x:f>
        <x:v>0</x:v>
      </x:c>
      <x:c r="K158" t="n">
        <x:f>--AND(J158=1,G158=1)</x:f>
        <x:v>0</x:v>
      </x:c>
      <x:c r="L158" t="str">
        <x:f>A158&amp;"/"&amp;B158&amp;"/"&amp;C158</x:f>
        <x:v>7/11/12</x:v>
      </x:c>
      <x:c r="M158" t="str">
        <x:f>MIN(15,A158+'Calculator'!$B$6)&amp;"/"&amp;MIN(15,B158+'Calculator'!$B$6)&amp;"/"&amp;MIN(15,C158+'Calculator'!$B$6)</x:f>
        <x:v>9/13/14</x:v>
      </x:c>
    </x:row>
    <x:row r="159">
      <x:c r="A159" t="n">
        <x:v>7</x:v>
      </x:c>
      <x:c r="B159" t="n">
        <x:v>11</x:v>
      </x:c>
      <x:c r="C159" t="n">
        <x:v>13</x:v>
      </x:c>
      <x:c r="D159" t="n">
        <x:f>MAX(10,ROUNDDOWN((('Calculator'!$B$10+A159)*SQRT('Calculator'!$B$11+B159)*SQRT('Calculator'!$B$12+C159)*0.59740001^2)/10,0))</x:f>
        <x:v>2293</x:v>
      </x:c>
      <x:c r="E159" t="n">
        <x:f>MAX(10,ROUNDDOWN((('Calculator'!$B$10+A159)*SQRT('Calculator'!$B$11+B159)*SQRT('Calculator'!$B$12+C159)*0.667934^2)/10,0))</x:f>
        <x:v>2866</x:v>
      </x:c>
      <x:c r="F159" t="n">
        <x:f>--AND(A159&gt;='Calculator'!$B$5,B159&gt;='Calculator'!$B$5,C159&gt;='Calculator'!$B$5)</x:f>
        <x:v>1</x:v>
      </x:c>
      <x:c r="G159" t="n">
        <x:f>--AND(A159+'Calculator'!$B$6&gt;=15,B159+'Calculator'!$B$6&gt;=15,C159+'Calculator'!$B$6&gt;=15)</x:f>
        <x:v>0</x:v>
      </x:c>
      <x:c r="H159" t="n">
        <x:f>--AND(F159=1,D159='Calculator'!$B$4)</x:f>
        <x:v>0</x:v>
      </x:c>
      <x:c r="I159" t="n">
        <x:f>--AND(H159=1,G159=1)</x:f>
        <x:v>0</x:v>
      </x:c>
      <x:c r="J159" t="n">
        <x:f>--AND(F159=1,E159='Calculator'!$B$4)</x:f>
        <x:v>0</x:v>
      </x:c>
      <x:c r="K159" t="n">
        <x:f>--AND(J159=1,G159=1)</x:f>
        <x:v>0</x:v>
      </x:c>
      <x:c r="L159" t="str">
        <x:f>A159&amp;"/"&amp;B159&amp;"/"&amp;C159</x:f>
        <x:v>7/11/13</x:v>
      </x:c>
      <x:c r="M159" t="str">
        <x:f>MIN(15,A159+'Calculator'!$B$6)&amp;"/"&amp;MIN(15,B159+'Calculator'!$B$6)&amp;"/"&amp;MIN(15,C159+'Calculator'!$B$6)</x:f>
        <x:v>9/13/15</x:v>
      </x:c>
    </x:row>
    <x:row r="160">
      <x:c r="A160" t="n">
        <x:v>7</x:v>
      </x:c>
      <x:c r="B160" t="n">
        <x:v>11</x:v>
      </x:c>
      <x:c r="C160" t="n">
        <x:v>14</x:v>
      </x:c>
      <x:c r="D160" t="n">
        <x:f>MAX(10,ROUNDDOWN((('Calculator'!$B$10+A160)*SQRT('Calculator'!$B$11+B160)*SQRT('Calculator'!$B$12+C160)*0.59740001^2)/10,0))</x:f>
        <x:v>2298</x:v>
      </x:c>
      <x:c r="E160" t="n">
        <x:f>MAX(10,ROUNDDOWN((('Calculator'!$B$10+A160)*SQRT('Calculator'!$B$11+B160)*SQRT('Calculator'!$B$12+C160)*0.667934^2)/10,0))</x:f>
        <x:v>2873</x:v>
      </x:c>
      <x:c r="F160" t="n">
        <x:f>--AND(A160&gt;='Calculator'!$B$5,B160&gt;='Calculator'!$B$5,C160&gt;='Calculator'!$B$5)</x:f>
        <x:v>1</x:v>
      </x:c>
      <x:c r="G160" t="n">
        <x:f>--AND(A160+'Calculator'!$B$6&gt;=15,B160+'Calculator'!$B$6&gt;=15,C160+'Calculator'!$B$6&gt;=15)</x:f>
        <x:v>0</x:v>
      </x:c>
      <x:c r="H160" t="n">
        <x:f>--AND(F160=1,D160='Calculator'!$B$4)</x:f>
        <x:v>0</x:v>
      </x:c>
      <x:c r="I160" t="n">
        <x:f>--AND(H160=1,G160=1)</x:f>
        <x:v>0</x:v>
      </x:c>
      <x:c r="J160" t="n">
        <x:f>--AND(F160=1,E160='Calculator'!$B$4)</x:f>
        <x:v>0</x:v>
      </x:c>
      <x:c r="K160" t="n">
        <x:f>--AND(J160=1,G160=1)</x:f>
        <x:v>0</x:v>
      </x:c>
      <x:c r="L160" t="str">
        <x:f>A160&amp;"/"&amp;B160&amp;"/"&amp;C160</x:f>
        <x:v>7/11/14</x:v>
      </x:c>
      <x:c r="M160" t="str">
        <x:f>MIN(15,A160+'Calculator'!$B$6)&amp;"/"&amp;MIN(15,B160+'Calculator'!$B$6)&amp;"/"&amp;MIN(15,C160+'Calculator'!$B$6)</x:f>
        <x:v>9/13/15</x:v>
      </x:c>
    </x:row>
    <x:row r="161">
      <x:c r="A161" t="n">
        <x:v>7</x:v>
      </x:c>
      <x:c r="B161" t="n">
        <x:v>11</x:v>
      </x:c>
      <x:c r="C161" t="n">
        <x:v>15</x:v>
      </x:c>
      <x:c r="D161" t="n">
        <x:f>MAX(10,ROUNDDOWN((('Calculator'!$B$10+A161)*SQRT('Calculator'!$B$11+B161)*SQRT('Calculator'!$B$12+C161)*0.59740001^2)/10,0))</x:f>
        <x:v>2303</x:v>
      </x:c>
      <x:c r="E161" t="n">
        <x:f>MAX(10,ROUNDDOWN((('Calculator'!$B$10+A161)*SQRT('Calculator'!$B$11+B161)*SQRT('Calculator'!$B$12+C161)*0.667934^2)/10,0))</x:f>
        <x:v>2879</x:v>
      </x:c>
      <x:c r="F161" t="n">
        <x:f>--AND(A161&gt;='Calculator'!$B$5,B161&gt;='Calculator'!$B$5,C161&gt;='Calculator'!$B$5)</x:f>
        <x:v>1</x:v>
      </x:c>
      <x:c r="G161" t="n">
        <x:f>--AND(A161+'Calculator'!$B$6&gt;=15,B161+'Calculator'!$B$6&gt;=15,C161+'Calculator'!$B$6&gt;=15)</x:f>
        <x:v>0</x:v>
      </x:c>
      <x:c r="H161" t="n">
        <x:f>--AND(F161=1,D161='Calculator'!$B$4)</x:f>
        <x:v>0</x:v>
      </x:c>
      <x:c r="I161" t="n">
        <x:f>--AND(H161=1,G161=1)</x:f>
        <x:v>0</x:v>
      </x:c>
      <x:c r="J161" t="n">
        <x:f>--AND(F161=1,E161='Calculator'!$B$4)</x:f>
        <x:v>0</x:v>
      </x:c>
      <x:c r="K161" t="n">
        <x:f>--AND(J161=1,G161=1)</x:f>
        <x:v>0</x:v>
      </x:c>
      <x:c r="L161" t="str">
        <x:f>A161&amp;"/"&amp;B161&amp;"/"&amp;C161</x:f>
        <x:v>7/11/15</x:v>
      </x:c>
      <x:c r="M161" t="str">
        <x:f>MIN(15,A161+'Calculator'!$B$6)&amp;"/"&amp;MIN(15,B161+'Calculator'!$B$6)&amp;"/"&amp;MIN(15,C161+'Calculator'!$B$6)</x:f>
        <x:v>9/13/15</x:v>
      </x:c>
    </x:row>
    <x:row r="162">
      <x:c r="A162" t="n">
        <x:v>7</x:v>
      </x:c>
      <x:c r="B162" t="n">
        <x:v>12</x:v>
      </x:c>
      <x:c r="C162" t="n">
        <x:v>6</x:v>
      </x:c>
      <x:c r="D162" t="n">
        <x:f>MAX(10,ROUNDDOWN((('Calculator'!$B$10+A162)*SQRT('Calculator'!$B$11+B162)*SQRT('Calculator'!$B$12+C162)*0.59740001^2)/10,0))</x:f>
        <x:v>2263</x:v>
      </x:c>
      <x:c r="E162" t="n">
        <x:f>MAX(10,ROUNDDOWN((('Calculator'!$B$10+A162)*SQRT('Calculator'!$B$11+B162)*SQRT('Calculator'!$B$12+C162)*0.667934^2)/10,0))</x:f>
        <x:v>2829</x:v>
      </x:c>
      <x:c r="F162" t="n">
        <x:f>--AND(A162&gt;='Calculator'!$B$5,B162&gt;='Calculator'!$B$5,C162&gt;='Calculator'!$B$5)</x:f>
        <x:v>1</x:v>
      </x:c>
      <x:c r="G162" t="n">
        <x:f>--AND(A162+'Calculator'!$B$6&gt;=15,B162+'Calculator'!$B$6&gt;=15,C162+'Calculator'!$B$6&gt;=15)</x:f>
        <x:v>0</x:v>
      </x:c>
      <x:c r="H162" t="n">
        <x:f>--AND(F162=1,D162='Calculator'!$B$4)</x:f>
        <x:v>0</x:v>
      </x:c>
      <x:c r="I162" t="n">
        <x:f>--AND(H162=1,G162=1)</x:f>
        <x:v>0</x:v>
      </x:c>
      <x:c r="J162" t="n">
        <x:f>--AND(F162=1,E162='Calculator'!$B$4)</x:f>
        <x:v>0</x:v>
      </x:c>
      <x:c r="K162" t="n">
        <x:f>--AND(J162=1,G162=1)</x:f>
        <x:v>0</x:v>
      </x:c>
      <x:c r="L162" t="str">
        <x:f>A162&amp;"/"&amp;B162&amp;"/"&amp;C162</x:f>
        <x:v>7/12/6</x:v>
      </x:c>
      <x:c r="M162" t="str">
        <x:f>MIN(15,A162+'Calculator'!$B$6)&amp;"/"&amp;MIN(15,B162+'Calculator'!$B$6)&amp;"/"&amp;MIN(15,C162+'Calculator'!$B$6)</x:f>
        <x:v>9/14/8</x:v>
      </x:c>
    </x:row>
    <x:row r="163">
      <x:c r="A163" t="n">
        <x:v>7</x:v>
      </x:c>
      <x:c r="B163" t="n">
        <x:v>12</x:v>
      </x:c>
      <x:c r="C163" t="n">
        <x:v>7</x:v>
      </x:c>
      <x:c r="D163" t="n">
        <x:f>MAX(10,ROUNDDOWN((('Calculator'!$B$10+A163)*SQRT('Calculator'!$B$11+B163)*SQRT('Calculator'!$B$12+C163)*0.59740001^2)/10,0))</x:f>
        <x:v>2268</x:v>
      </x:c>
      <x:c r="E163" t="n">
        <x:f>MAX(10,ROUNDDOWN((('Calculator'!$B$10+A163)*SQRT('Calculator'!$B$11+B163)*SQRT('Calculator'!$B$12+C163)*0.667934^2)/10,0))</x:f>
        <x:v>2835</x:v>
      </x:c>
      <x:c r="F163" t="n">
        <x:f>--AND(A163&gt;='Calculator'!$B$5,B163&gt;='Calculator'!$B$5,C163&gt;='Calculator'!$B$5)</x:f>
        <x:v>1</x:v>
      </x:c>
      <x:c r="G163" t="n">
        <x:f>--AND(A163+'Calculator'!$B$6&gt;=15,B163+'Calculator'!$B$6&gt;=15,C163+'Calculator'!$B$6&gt;=15)</x:f>
        <x:v>0</x:v>
      </x:c>
      <x:c r="H163" t="n">
        <x:f>--AND(F163=1,D163='Calculator'!$B$4)</x:f>
        <x:v>0</x:v>
      </x:c>
      <x:c r="I163" t="n">
        <x:f>--AND(H163=1,G163=1)</x:f>
        <x:v>0</x:v>
      </x:c>
      <x:c r="J163" t="n">
        <x:f>--AND(F163=1,E163='Calculator'!$B$4)</x:f>
        <x:v>0</x:v>
      </x:c>
      <x:c r="K163" t="n">
        <x:f>--AND(J163=1,G163=1)</x:f>
        <x:v>0</x:v>
      </x:c>
      <x:c r="L163" t="str">
        <x:f>A163&amp;"/"&amp;B163&amp;"/"&amp;C163</x:f>
        <x:v>7/12/7</x:v>
      </x:c>
      <x:c r="M163" t="str">
        <x:f>MIN(15,A163+'Calculator'!$B$6)&amp;"/"&amp;MIN(15,B163+'Calculator'!$B$6)&amp;"/"&amp;MIN(15,C163+'Calculator'!$B$6)</x:f>
        <x:v>9/14/9</x:v>
      </x:c>
    </x:row>
    <x:row r="164">
      <x:c r="A164" t="n">
        <x:v>7</x:v>
      </x:c>
      <x:c r="B164" t="n">
        <x:v>12</x:v>
      </x:c>
      <x:c r="C164" t="n">
        <x:v>8</x:v>
      </x:c>
      <x:c r="D164" t="n">
        <x:f>MAX(10,ROUNDDOWN((('Calculator'!$B$10+A164)*SQRT('Calculator'!$B$11+B164)*SQRT('Calculator'!$B$12+C164)*0.59740001^2)/10,0))</x:f>
        <x:v>2273</x:v>
      </x:c>
      <x:c r="E164" t="n">
        <x:f>MAX(10,ROUNDDOWN((('Calculator'!$B$10+A164)*SQRT('Calculator'!$B$11+B164)*SQRT('Calculator'!$B$12+C164)*0.667934^2)/10,0))</x:f>
        <x:v>2842</x:v>
      </x:c>
      <x:c r="F164" t="n">
        <x:f>--AND(A164&gt;='Calculator'!$B$5,B164&gt;='Calculator'!$B$5,C164&gt;='Calculator'!$B$5)</x:f>
        <x:v>1</x:v>
      </x:c>
      <x:c r="G164" t="n">
        <x:f>--AND(A164+'Calculator'!$B$6&gt;=15,B164+'Calculator'!$B$6&gt;=15,C164+'Calculator'!$B$6&gt;=15)</x:f>
        <x:v>0</x:v>
      </x:c>
      <x:c r="H164" t="n">
        <x:f>--AND(F164=1,D164='Calculator'!$B$4)</x:f>
        <x:v>0</x:v>
      </x:c>
      <x:c r="I164" t="n">
        <x:f>--AND(H164=1,G164=1)</x:f>
        <x:v>0</x:v>
      </x:c>
      <x:c r="J164" t="n">
        <x:f>--AND(F164=1,E164='Calculator'!$B$4)</x:f>
        <x:v>0</x:v>
      </x:c>
      <x:c r="K164" t="n">
        <x:f>--AND(J164=1,G164=1)</x:f>
        <x:v>0</x:v>
      </x:c>
      <x:c r="L164" t="str">
        <x:f>A164&amp;"/"&amp;B164&amp;"/"&amp;C164</x:f>
        <x:v>7/12/8</x:v>
      </x:c>
      <x:c r="M164" t="str">
        <x:f>MIN(15,A164+'Calculator'!$B$6)&amp;"/"&amp;MIN(15,B164+'Calculator'!$B$6)&amp;"/"&amp;MIN(15,C164+'Calculator'!$B$6)</x:f>
        <x:v>9/14/10</x:v>
      </x:c>
    </x:row>
    <x:row r="165">
      <x:c r="A165" t="n">
        <x:v>7</x:v>
      </x:c>
      <x:c r="B165" t="n">
        <x:v>12</x:v>
      </x:c>
      <x:c r="C165" t="n">
        <x:v>9</x:v>
      </x:c>
      <x:c r="D165" t="n">
        <x:f>MAX(10,ROUNDDOWN((('Calculator'!$B$10+A165)*SQRT('Calculator'!$B$11+B165)*SQRT('Calculator'!$B$12+C165)*0.59740001^2)/10,0))</x:f>
        <x:v>2278</x:v>
      </x:c>
      <x:c r="E165" t="n">
        <x:f>MAX(10,ROUNDDOWN((('Calculator'!$B$10+A165)*SQRT('Calculator'!$B$11+B165)*SQRT('Calculator'!$B$12+C165)*0.667934^2)/10,0))</x:f>
        <x:v>2848</x:v>
      </x:c>
      <x:c r="F165" t="n">
        <x:f>--AND(A165&gt;='Calculator'!$B$5,B165&gt;='Calculator'!$B$5,C165&gt;='Calculator'!$B$5)</x:f>
        <x:v>1</x:v>
      </x:c>
      <x:c r="G165" t="n">
        <x:f>--AND(A165+'Calculator'!$B$6&gt;=15,B165+'Calculator'!$B$6&gt;=15,C165+'Calculator'!$B$6&gt;=15)</x:f>
        <x:v>0</x:v>
      </x:c>
      <x:c r="H165" t="n">
        <x:f>--AND(F165=1,D165='Calculator'!$B$4)</x:f>
        <x:v>0</x:v>
      </x:c>
      <x:c r="I165" t="n">
        <x:f>--AND(H165=1,G165=1)</x:f>
        <x:v>0</x:v>
      </x:c>
      <x:c r="J165" t="n">
        <x:f>--AND(F165=1,E165='Calculator'!$B$4)</x:f>
        <x:v>0</x:v>
      </x:c>
      <x:c r="K165" t="n">
        <x:f>--AND(J165=1,G165=1)</x:f>
        <x:v>0</x:v>
      </x:c>
      <x:c r="L165" t="str">
        <x:f>A165&amp;"/"&amp;B165&amp;"/"&amp;C165</x:f>
        <x:v>7/12/9</x:v>
      </x:c>
      <x:c r="M165" t="str">
        <x:f>MIN(15,A165+'Calculator'!$B$6)&amp;"/"&amp;MIN(15,B165+'Calculator'!$B$6)&amp;"/"&amp;MIN(15,C165+'Calculator'!$B$6)</x:f>
        <x:v>9/14/11</x:v>
      </x:c>
    </x:row>
    <x:row r="166">
      <x:c r="A166" t="n">
        <x:v>7</x:v>
      </x:c>
      <x:c r="B166" t="n">
        <x:v>12</x:v>
      </x:c>
      <x:c r="C166" t="n">
        <x:v>10</x:v>
      </x:c>
      <x:c r="D166" t="n">
        <x:f>MAX(10,ROUNDDOWN((('Calculator'!$B$10+A166)*SQRT('Calculator'!$B$11+B166)*SQRT('Calculator'!$B$12+C166)*0.59740001^2)/10,0))</x:f>
        <x:v>2283</x:v>
      </x:c>
      <x:c r="E166" t="n">
        <x:f>MAX(10,ROUNDDOWN((('Calculator'!$B$10+A166)*SQRT('Calculator'!$B$11+B166)*SQRT('Calculator'!$B$12+C166)*0.667934^2)/10,0))</x:f>
        <x:v>2855</x:v>
      </x:c>
      <x:c r="F166" t="n">
        <x:f>--AND(A166&gt;='Calculator'!$B$5,B166&gt;='Calculator'!$B$5,C166&gt;='Calculator'!$B$5)</x:f>
        <x:v>1</x:v>
      </x:c>
      <x:c r="G166" t="n">
        <x:f>--AND(A166+'Calculator'!$B$6&gt;=15,B166+'Calculator'!$B$6&gt;=15,C166+'Calculator'!$B$6&gt;=15)</x:f>
        <x:v>0</x:v>
      </x:c>
      <x:c r="H166" t="n">
        <x:f>--AND(F166=1,D166='Calculator'!$B$4)</x:f>
        <x:v>0</x:v>
      </x:c>
      <x:c r="I166" t="n">
        <x:f>--AND(H166=1,G166=1)</x:f>
        <x:v>0</x:v>
      </x:c>
      <x:c r="J166" t="n">
        <x:f>--AND(F166=1,E166='Calculator'!$B$4)</x:f>
        <x:v>0</x:v>
      </x:c>
      <x:c r="K166" t="n">
        <x:f>--AND(J166=1,G166=1)</x:f>
        <x:v>0</x:v>
      </x:c>
      <x:c r="L166" t="str">
        <x:f>A166&amp;"/"&amp;B166&amp;"/"&amp;C166</x:f>
        <x:v>7/12/10</x:v>
      </x:c>
      <x:c r="M166" t="str">
        <x:f>MIN(15,A166+'Calculator'!$B$6)&amp;"/"&amp;MIN(15,B166+'Calculator'!$B$6)&amp;"/"&amp;MIN(15,C166+'Calculator'!$B$6)</x:f>
        <x:v>9/14/12</x:v>
      </x:c>
    </x:row>
    <x:row r="167">
      <x:c r="A167" t="n">
        <x:v>7</x:v>
      </x:c>
      <x:c r="B167" t="n">
        <x:v>12</x:v>
      </x:c>
      <x:c r="C167" t="n">
        <x:v>11</x:v>
      </x:c>
      <x:c r="D167" t="n">
        <x:f>MAX(10,ROUNDDOWN((('Calculator'!$B$10+A167)*SQRT('Calculator'!$B$11+B167)*SQRT('Calculator'!$B$12+C167)*0.59740001^2)/10,0))</x:f>
        <x:v>2289</x:v>
      </x:c>
      <x:c r="E167" t="n">
        <x:f>MAX(10,ROUNDDOWN((('Calculator'!$B$10+A167)*SQRT('Calculator'!$B$11+B167)*SQRT('Calculator'!$B$12+C167)*0.667934^2)/10,0))</x:f>
        <x:v>2861</x:v>
      </x:c>
      <x:c r="F167" t="n">
        <x:f>--AND(A167&gt;='Calculator'!$B$5,B167&gt;='Calculator'!$B$5,C167&gt;='Calculator'!$B$5)</x:f>
        <x:v>1</x:v>
      </x:c>
      <x:c r="G167" t="n">
        <x:f>--AND(A167+'Calculator'!$B$6&gt;=15,B167+'Calculator'!$B$6&gt;=15,C167+'Calculator'!$B$6&gt;=15)</x:f>
        <x:v>0</x:v>
      </x:c>
      <x:c r="H167" t="n">
        <x:f>--AND(F167=1,D167='Calculator'!$B$4)</x:f>
        <x:v>0</x:v>
      </x:c>
      <x:c r="I167" t="n">
        <x:f>--AND(H167=1,G167=1)</x:f>
        <x:v>0</x:v>
      </x:c>
      <x:c r="J167" t="n">
        <x:f>--AND(F167=1,E167='Calculator'!$B$4)</x:f>
        <x:v>0</x:v>
      </x:c>
      <x:c r="K167" t="n">
        <x:f>--AND(J167=1,G167=1)</x:f>
        <x:v>0</x:v>
      </x:c>
      <x:c r="L167" t="str">
        <x:f>A167&amp;"/"&amp;B167&amp;"/"&amp;C167</x:f>
        <x:v>7/12/11</x:v>
      </x:c>
      <x:c r="M167" t="str">
        <x:f>MIN(15,A167+'Calculator'!$B$6)&amp;"/"&amp;MIN(15,B167+'Calculator'!$B$6)&amp;"/"&amp;MIN(15,C167+'Calculator'!$B$6)</x:f>
        <x:v>9/14/13</x:v>
      </x:c>
    </x:row>
    <x:row r="168">
      <x:c r="A168" t="n">
        <x:v>7</x:v>
      </x:c>
      <x:c r="B168" t="n">
        <x:v>12</x:v>
      </x:c>
      <x:c r="C168" t="n">
        <x:v>12</x:v>
      </x:c>
      <x:c r="D168" t="n">
        <x:f>MAX(10,ROUNDDOWN((('Calculator'!$B$10+A168)*SQRT('Calculator'!$B$11+B168)*SQRT('Calculator'!$B$12+C168)*0.59740001^2)/10,0))</x:f>
        <x:v>2294</x:v>
      </x:c>
      <x:c r="E168" t="n">
        <x:f>MAX(10,ROUNDDOWN((('Calculator'!$B$10+A168)*SQRT('Calculator'!$B$11+B168)*SQRT('Calculator'!$B$12+C168)*0.667934^2)/10,0))</x:f>
        <x:v>2867</x:v>
      </x:c>
      <x:c r="F168" t="n">
        <x:f>--AND(A168&gt;='Calculator'!$B$5,B168&gt;='Calculator'!$B$5,C168&gt;='Calculator'!$B$5)</x:f>
        <x:v>1</x:v>
      </x:c>
      <x:c r="G168" t="n">
        <x:f>--AND(A168+'Calculator'!$B$6&gt;=15,B168+'Calculator'!$B$6&gt;=15,C168+'Calculator'!$B$6&gt;=15)</x:f>
        <x:v>0</x:v>
      </x:c>
      <x:c r="H168" t="n">
        <x:f>--AND(F168=1,D168='Calculator'!$B$4)</x:f>
        <x:v>0</x:v>
      </x:c>
      <x:c r="I168" t="n">
        <x:f>--AND(H168=1,G168=1)</x:f>
        <x:v>0</x:v>
      </x:c>
      <x:c r="J168" t="n">
        <x:f>--AND(F168=1,E168='Calculator'!$B$4)</x:f>
        <x:v>0</x:v>
      </x:c>
      <x:c r="K168" t="n">
        <x:f>--AND(J168=1,G168=1)</x:f>
        <x:v>0</x:v>
      </x:c>
      <x:c r="L168" t="str">
        <x:f>A168&amp;"/"&amp;B168&amp;"/"&amp;C168</x:f>
        <x:v>7/12/12</x:v>
      </x:c>
      <x:c r="M168" t="str">
        <x:f>MIN(15,A168+'Calculator'!$B$6)&amp;"/"&amp;MIN(15,B168+'Calculator'!$B$6)&amp;"/"&amp;MIN(15,C168+'Calculator'!$B$6)</x:f>
        <x:v>9/14/14</x:v>
      </x:c>
    </x:row>
    <x:row r="169">
      <x:c r="A169" t="n">
        <x:v>7</x:v>
      </x:c>
      <x:c r="B169" t="n">
        <x:v>12</x:v>
      </x:c>
      <x:c r="C169" t="n">
        <x:v>13</x:v>
      </x:c>
      <x:c r="D169" t="n">
        <x:f>MAX(10,ROUNDDOWN((('Calculator'!$B$10+A169)*SQRT('Calculator'!$B$11+B169)*SQRT('Calculator'!$B$12+C169)*0.59740001^2)/10,0))</x:f>
        <x:v>2299</x:v>
      </x:c>
      <x:c r="E169" t="n">
        <x:f>MAX(10,ROUNDDOWN((('Calculator'!$B$10+A169)*SQRT('Calculator'!$B$11+B169)*SQRT('Calculator'!$B$12+C169)*0.667934^2)/10,0))</x:f>
        <x:v>2874</x:v>
      </x:c>
      <x:c r="F169" t="n">
        <x:f>--AND(A169&gt;='Calculator'!$B$5,B169&gt;='Calculator'!$B$5,C169&gt;='Calculator'!$B$5)</x:f>
        <x:v>1</x:v>
      </x:c>
      <x:c r="G169" t="n">
        <x:f>--AND(A169+'Calculator'!$B$6&gt;=15,B169+'Calculator'!$B$6&gt;=15,C169+'Calculator'!$B$6&gt;=15)</x:f>
        <x:v>0</x:v>
      </x:c>
      <x:c r="H169" t="n">
        <x:f>--AND(F169=1,D169='Calculator'!$B$4)</x:f>
        <x:v>0</x:v>
      </x:c>
      <x:c r="I169" t="n">
        <x:f>--AND(H169=1,G169=1)</x:f>
        <x:v>0</x:v>
      </x:c>
      <x:c r="J169" t="n">
        <x:f>--AND(F169=1,E169='Calculator'!$B$4)</x:f>
        <x:v>0</x:v>
      </x:c>
      <x:c r="K169" t="n">
        <x:f>--AND(J169=1,G169=1)</x:f>
        <x:v>0</x:v>
      </x:c>
      <x:c r="L169" t="str">
        <x:f>A169&amp;"/"&amp;B169&amp;"/"&amp;C169</x:f>
        <x:v>7/12/13</x:v>
      </x:c>
      <x:c r="M169" t="str">
        <x:f>MIN(15,A169+'Calculator'!$B$6)&amp;"/"&amp;MIN(15,B169+'Calculator'!$B$6)&amp;"/"&amp;MIN(15,C169+'Calculator'!$B$6)</x:f>
        <x:v>9/14/15</x:v>
      </x:c>
    </x:row>
    <x:row r="170">
      <x:c r="A170" t="n">
        <x:v>7</x:v>
      </x:c>
      <x:c r="B170" t="n">
        <x:v>12</x:v>
      </x:c>
      <x:c r="C170" t="n">
        <x:v>14</x:v>
      </x:c>
      <x:c r="D170" t="n">
        <x:f>MAX(10,ROUNDDOWN((('Calculator'!$B$10+A170)*SQRT('Calculator'!$B$11+B170)*SQRT('Calculator'!$B$12+C170)*0.59740001^2)/10,0))</x:f>
        <x:v>2304</x:v>
      </x:c>
      <x:c r="E170" t="n">
        <x:f>MAX(10,ROUNDDOWN((('Calculator'!$B$10+A170)*SQRT('Calculator'!$B$11+B170)*SQRT('Calculator'!$B$12+C170)*0.667934^2)/10,0))</x:f>
        <x:v>2880</x:v>
      </x:c>
      <x:c r="F170" t="n">
        <x:f>--AND(A170&gt;='Calculator'!$B$5,B170&gt;='Calculator'!$B$5,C170&gt;='Calculator'!$B$5)</x:f>
        <x:v>1</x:v>
      </x:c>
      <x:c r="G170" t="n">
        <x:f>--AND(A170+'Calculator'!$B$6&gt;=15,B170+'Calculator'!$B$6&gt;=15,C170+'Calculator'!$B$6&gt;=15)</x:f>
        <x:v>0</x:v>
      </x:c>
      <x:c r="H170" t="n">
        <x:f>--AND(F170=1,D170='Calculator'!$B$4)</x:f>
        <x:v>0</x:v>
      </x:c>
      <x:c r="I170" t="n">
        <x:f>--AND(H170=1,G170=1)</x:f>
        <x:v>0</x:v>
      </x:c>
      <x:c r="J170" t="n">
        <x:f>--AND(F170=1,E170='Calculator'!$B$4)</x:f>
        <x:v>0</x:v>
      </x:c>
      <x:c r="K170" t="n">
        <x:f>--AND(J170=1,G170=1)</x:f>
        <x:v>0</x:v>
      </x:c>
      <x:c r="L170" t="str">
        <x:f>A170&amp;"/"&amp;B170&amp;"/"&amp;C170</x:f>
        <x:v>7/12/14</x:v>
      </x:c>
      <x:c r="M170" t="str">
        <x:f>MIN(15,A170+'Calculator'!$B$6)&amp;"/"&amp;MIN(15,B170+'Calculator'!$B$6)&amp;"/"&amp;MIN(15,C170+'Calculator'!$B$6)</x:f>
        <x:v>9/14/15</x:v>
      </x:c>
    </x:row>
    <x:row r="171">
      <x:c r="A171" t="n">
        <x:v>7</x:v>
      </x:c>
      <x:c r="B171" t="n">
        <x:v>12</x:v>
      </x:c>
      <x:c r="C171" t="n">
        <x:v>15</x:v>
      </x:c>
      <x:c r="D171" t="n">
        <x:f>MAX(10,ROUNDDOWN((('Calculator'!$B$10+A171)*SQRT('Calculator'!$B$11+B171)*SQRT('Calculator'!$B$12+C171)*0.59740001^2)/10,0))</x:f>
        <x:v>2309</x:v>
      </x:c>
      <x:c r="E171" t="n">
        <x:f>MAX(10,ROUNDDOWN((('Calculator'!$B$10+A171)*SQRT('Calculator'!$B$11+B171)*SQRT('Calculator'!$B$12+C171)*0.667934^2)/10,0))</x:f>
        <x:v>2886</x:v>
      </x:c>
      <x:c r="F171" t="n">
        <x:f>--AND(A171&gt;='Calculator'!$B$5,B171&gt;='Calculator'!$B$5,C171&gt;='Calculator'!$B$5)</x:f>
        <x:v>1</x:v>
      </x:c>
      <x:c r="G171" t="n">
        <x:f>--AND(A171+'Calculator'!$B$6&gt;=15,B171+'Calculator'!$B$6&gt;=15,C171+'Calculator'!$B$6&gt;=15)</x:f>
        <x:v>0</x:v>
      </x:c>
      <x:c r="H171" t="n">
        <x:f>--AND(F171=1,D171='Calculator'!$B$4)</x:f>
        <x:v>0</x:v>
      </x:c>
      <x:c r="I171" t="n">
        <x:f>--AND(H171=1,G171=1)</x:f>
        <x:v>0</x:v>
      </x:c>
      <x:c r="J171" t="n">
        <x:f>--AND(F171=1,E171='Calculator'!$B$4)</x:f>
        <x:v>0</x:v>
      </x:c>
      <x:c r="K171" t="n">
        <x:f>--AND(J171=1,G171=1)</x:f>
        <x:v>0</x:v>
      </x:c>
      <x:c r="L171" t="str">
        <x:f>A171&amp;"/"&amp;B171&amp;"/"&amp;C171</x:f>
        <x:v>7/12/15</x:v>
      </x:c>
      <x:c r="M171" t="str">
        <x:f>MIN(15,A171+'Calculator'!$B$6)&amp;"/"&amp;MIN(15,B171+'Calculator'!$B$6)&amp;"/"&amp;MIN(15,C171+'Calculator'!$B$6)</x:f>
        <x:v>9/14/15</x:v>
      </x:c>
    </x:row>
    <x:row r="172">
      <x:c r="A172" t="n">
        <x:v>7</x:v>
      </x:c>
      <x:c r="B172" t="n">
        <x:v>13</x:v>
      </x:c>
      <x:c r="C172" t="n">
        <x:v>6</x:v>
      </x:c>
      <x:c r="D172" t="n">
        <x:f>MAX(10,ROUNDDOWN((('Calculator'!$B$10+A172)*SQRT('Calculator'!$B$11+B172)*SQRT('Calculator'!$B$12+C172)*0.59740001^2)/10,0))</x:f>
        <x:v>2269</x:v>
      </x:c>
      <x:c r="E172" t="n">
        <x:f>MAX(10,ROUNDDOWN((('Calculator'!$B$10+A172)*SQRT('Calculator'!$B$11+B172)*SQRT('Calculator'!$B$12+C172)*0.667934^2)/10,0))</x:f>
        <x:v>2836</x:v>
      </x:c>
      <x:c r="F172" t="n">
        <x:f>--AND(A172&gt;='Calculator'!$B$5,B172&gt;='Calculator'!$B$5,C172&gt;='Calculator'!$B$5)</x:f>
        <x:v>1</x:v>
      </x:c>
      <x:c r="G172" t="n">
        <x:f>--AND(A172+'Calculator'!$B$6&gt;=15,B172+'Calculator'!$B$6&gt;=15,C172+'Calculator'!$B$6&gt;=15)</x:f>
        <x:v>0</x:v>
      </x:c>
      <x:c r="H172" t="n">
        <x:f>--AND(F172=1,D172='Calculator'!$B$4)</x:f>
        <x:v>0</x:v>
      </x:c>
      <x:c r="I172" t="n">
        <x:f>--AND(H172=1,G172=1)</x:f>
        <x:v>0</x:v>
      </x:c>
      <x:c r="J172" t="n">
        <x:f>--AND(F172=1,E172='Calculator'!$B$4)</x:f>
        <x:v>0</x:v>
      </x:c>
      <x:c r="K172" t="n">
        <x:f>--AND(J172=1,G172=1)</x:f>
        <x:v>0</x:v>
      </x:c>
      <x:c r="L172" t="str">
        <x:f>A172&amp;"/"&amp;B172&amp;"/"&amp;C172</x:f>
        <x:v>7/13/6</x:v>
      </x:c>
      <x:c r="M172" t="str">
        <x:f>MIN(15,A172+'Calculator'!$B$6)&amp;"/"&amp;MIN(15,B172+'Calculator'!$B$6)&amp;"/"&amp;MIN(15,C172+'Calculator'!$B$6)</x:f>
        <x:v>9/15/8</x:v>
      </x:c>
    </x:row>
    <x:row r="173">
      <x:c r="A173" t="n">
        <x:v>7</x:v>
      </x:c>
      <x:c r="B173" t="n">
        <x:v>13</x:v>
      </x:c>
      <x:c r="C173" t="n">
        <x:v>7</x:v>
      </x:c>
      <x:c r="D173" t="n">
        <x:f>MAX(10,ROUNDDOWN((('Calculator'!$B$10+A173)*SQRT('Calculator'!$B$11+B173)*SQRT('Calculator'!$B$12+C173)*0.59740001^2)/10,0))</x:f>
        <x:v>2274</x:v>
      </x:c>
      <x:c r="E173" t="n">
        <x:f>MAX(10,ROUNDDOWN((('Calculator'!$B$10+A173)*SQRT('Calculator'!$B$11+B173)*SQRT('Calculator'!$B$12+C173)*0.667934^2)/10,0))</x:f>
        <x:v>2843</x:v>
      </x:c>
      <x:c r="F173" t="n">
        <x:f>--AND(A173&gt;='Calculator'!$B$5,B173&gt;='Calculator'!$B$5,C173&gt;='Calculator'!$B$5)</x:f>
        <x:v>1</x:v>
      </x:c>
      <x:c r="G173" t="n">
        <x:f>--AND(A173+'Calculator'!$B$6&gt;=15,B173+'Calculator'!$B$6&gt;=15,C173+'Calculator'!$B$6&gt;=15)</x:f>
        <x:v>0</x:v>
      </x:c>
      <x:c r="H173" t="n">
        <x:f>--AND(F173=1,D173='Calculator'!$B$4)</x:f>
        <x:v>0</x:v>
      </x:c>
      <x:c r="I173" t="n">
        <x:f>--AND(H173=1,G173=1)</x:f>
        <x:v>0</x:v>
      </x:c>
      <x:c r="J173" t="n">
        <x:f>--AND(F173=1,E173='Calculator'!$B$4)</x:f>
        <x:v>0</x:v>
      </x:c>
      <x:c r="K173" t="n">
        <x:f>--AND(J173=1,G173=1)</x:f>
        <x:v>0</x:v>
      </x:c>
      <x:c r="L173" t="str">
        <x:f>A173&amp;"/"&amp;B173&amp;"/"&amp;C173</x:f>
        <x:v>7/13/7</x:v>
      </x:c>
      <x:c r="M173" t="str">
        <x:f>MIN(15,A173+'Calculator'!$B$6)&amp;"/"&amp;MIN(15,B173+'Calculator'!$B$6)&amp;"/"&amp;MIN(15,C173+'Calculator'!$B$6)</x:f>
        <x:v>9/15/9</x:v>
      </x:c>
    </x:row>
    <x:row r="174">
      <x:c r="A174" t="n">
        <x:v>7</x:v>
      </x:c>
      <x:c r="B174" t="n">
        <x:v>13</x:v>
      </x:c>
      <x:c r="C174" t="n">
        <x:v>8</x:v>
      </x:c>
      <x:c r="D174" t="n">
        <x:f>MAX(10,ROUNDDOWN((('Calculator'!$B$10+A174)*SQRT('Calculator'!$B$11+B174)*SQRT('Calculator'!$B$12+C174)*0.59740001^2)/10,0))</x:f>
        <x:v>2279</x:v>
      </x:c>
      <x:c r="E174" t="n">
        <x:f>MAX(10,ROUNDDOWN((('Calculator'!$B$10+A174)*SQRT('Calculator'!$B$11+B174)*SQRT('Calculator'!$B$12+C174)*0.667934^2)/10,0))</x:f>
        <x:v>2849</x:v>
      </x:c>
      <x:c r="F174" t="n">
        <x:f>--AND(A174&gt;='Calculator'!$B$5,B174&gt;='Calculator'!$B$5,C174&gt;='Calculator'!$B$5)</x:f>
        <x:v>1</x:v>
      </x:c>
      <x:c r="G174" t="n">
        <x:f>--AND(A174+'Calculator'!$B$6&gt;=15,B174+'Calculator'!$B$6&gt;=15,C174+'Calculator'!$B$6&gt;=15)</x:f>
        <x:v>0</x:v>
      </x:c>
      <x:c r="H174" t="n">
        <x:f>--AND(F174=1,D174='Calculator'!$B$4)</x:f>
        <x:v>0</x:v>
      </x:c>
      <x:c r="I174" t="n">
        <x:f>--AND(H174=1,G174=1)</x:f>
        <x:v>0</x:v>
      </x:c>
      <x:c r="J174" t="n">
        <x:f>--AND(F174=1,E174='Calculator'!$B$4)</x:f>
        <x:v>0</x:v>
      </x:c>
      <x:c r="K174" t="n">
        <x:f>--AND(J174=1,G174=1)</x:f>
        <x:v>0</x:v>
      </x:c>
      <x:c r="L174" t="str">
        <x:f>A174&amp;"/"&amp;B174&amp;"/"&amp;C174</x:f>
        <x:v>7/13/8</x:v>
      </x:c>
      <x:c r="M174" t="str">
        <x:f>MIN(15,A174+'Calculator'!$B$6)&amp;"/"&amp;MIN(15,B174+'Calculator'!$B$6)&amp;"/"&amp;MIN(15,C174+'Calculator'!$B$6)</x:f>
        <x:v>9/15/10</x:v>
      </x:c>
    </x:row>
    <x:row r="175">
      <x:c r="A175" t="n">
        <x:v>7</x:v>
      </x:c>
      <x:c r="B175" t="n">
        <x:v>13</x:v>
      </x:c>
      <x:c r="C175" t="n">
        <x:v>9</x:v>
      </x:c>
      <x:c r="D175" t="n">
        <x:f>MAX(10,ROUNDDOWN((('Calculator'!$B$10+A175)*SQRT('Calculator'!$B$11+B175)*SQRT('Calculator'!$B$12+C175)*0.59740001^2)/10,0))</x:f>
        <x:v>2284</x:v>
      </x:c>
      <x:c r="E175" t="n">
        <x:f>MAX(10,ROUNDDOWN((('Calculator'!$B$10+A175)*SQRT('Calculator'!$B$11+B175)*SQRT('Calculator'!$B$12+C175)*0.667934^2)/10,0))</x:f>
        <x:v>2856</x:v>
      </x:c>
      <x:c r="F175" t="n">
        <x:f>--AND(A175&gt;='Calculator'!$B$5,B175&gt;='Calculator'!$B$5,C175&gt;='Calculator'!$B$5)</x:f>
        <x:v>1</x:v>
      </x:c>
      <x:c r="G175" t="n">
        <x:f>--AND(A175+'Calculator'!$B$6&gt;=15,B175+'Calculator'!$B$6&gt;=15,C175+'Calculator'!$B$6&gt;=15)</x:f>
        <x:v>0</x:v>
      </x:c>
      <x:c r="H175" t="n">
        <x:f>--AND(F175=1,D175='Calculator'!$B$4)</x:f>
        <x:v>0</x:v>
      </x:c>
      <x:c r="I175" t="n">
        <x:f>--AND(H175=1,G175=1)</x:f>
        <x:v>0</x:v>
      </x:c>
      <x:c r="J175" t="n">
        <x:f>--AND(F175=1,E175='Calculator'!$B$4)</x:f>
        <x:v>0</x:v>
      </x:c>
      <x:c r="K175" t="n">
        <x:f>--AND(J175=1,G175=1)</x:f>
        <x:v>0</x:v>
      </x:c>
      <x:c r="L175" t="str">
        <x:f>A175&amp;"/"&amp;B175&amp;"/"&amp;C175</x:f>
        <x:v>7/13/9</x:v>
      </x:c>
      <x:c r="M175" t="str">
        <x:f>MIN(15,A175+'Calculator'!$B$6)&amp;"/"&amp;MIN(15,B175+'Calculator'!$B$6)&amp;"/"&amp;MIN(15,C175+'Calculator'!$B$6)</x:f>
        <x:v>9/15/11</x:v>
      </x:c>
    </x:row>
    <x:row r="176">
      <x:c r="A176" t="n">
        <x:v>7</x:v>
      </x:c>
      <x:c r="B176" t="n">
        <x:v>13</x:v>
      </x:c>
      <x:c r="C176" t="n">
        <x:v>10</x:v>
      </x:c>
      <x:c r="D176" t="n">
        <x:f>MAX(10,ROUNDDOWN((('Calculator'!$B$10+A176)*SQRT('Calculator'!$B$11+B176)*SQRT('Calculator'!$B$12+C176)*0.59740001^2)/10,0))</x:f>
        <x:v>2289</x:v>
      </x:c>
      <x:c r="E176" t="n">
        <x:f>MAX(10,ROUNDDOWN((('Calculator'!$B$10+A176)*SQRT('Calculator'!$B$11+B176)*SQRT('Calculator'!$B$12+C176)*0.667934^2)/10,0))</x:f>
        <x:v>2862</x:v>
      </x:c>
      <x:c r="F176" t="n">
        <x:f>--AND(A176&gt;='Calculator'!$B$5,B176&gt;='Calculator'!$B$5,C176&gt;='Calculator'!$B$5)</x:f>
        <x:v>1</x:v>
      </x:c>
      <x:c r="G176" t="n">
        <x:f>--AND(A176+'Calculator'!$B$6&gt;=15,B176+'Calculator'!$B$6&gt;=15,C176+'Calculator'!$B$6&gt;=15)</x:f>
        <x:v>0</x:v>
      </x:c>
      <x:c r="H176" t="n">
        <x:f>--AND(F176=1,D176='Calculator'!$B$4)</x:f>
        <x:v>0</x:v>
      </x:c>
      <x:c r="I176" t="n">
        <x:f>--AND(H176=1,G176=1)</x:f>
        <x:v>0</x:v>
      </x:c>
      <x:c r="J176" t="n">
        <x:f>--AND(F176=1,E176='Calculator'!$B$4)</x:f>
        <x:v>0</x:v>
      </x:c>
      <x:c r="K176" t="n">
        <x:f>--AND(J176=1,G176=1)</x:f>
        <x:v>0</x:v>
      </x:c>
      <x:c r="L176" t="str">
        <x:f>A176&amp;"/"&amp;B176&amp;"/"&amp;C176</x:f>
        <x:v>7/13/10</x:v>
      </x:c>
      <x:c r="M176" t="str">
        <x:f>MIN(15,A176+'Calculator'!$B$6)&amp;"/"&amp;MIN(15,B176+'Calculator'!$B$6)&amp;"/"&amp;MIN(15,C176+'Calculator'!$B$6)</x:f>
        <x:v>9/15/12</x:v>
      </x:c>
    </x:row>
    <x:row r="177">
      <x:c r="A177" t="n">
        <x:v>7</x:v>
      </x:c>
      <x:c r="B177" t="n">
        <x:v>13</x:v>
      </x:c>
      <x:c r="C177" t="n">
        <x:v>11</x:v>
      </x:c>
      <x:c r="D177" t="n">
        <x:f>MAX(10,ROUNDDOWN((('Calculator'!$B$10+A177)*SQRT('Calculator'!$B$11+B177)*SQRT('Calculator'!$B$12+C177)*0.59740001^2)/10,0))</x:f>
        <x:v>2294</x:v>
      </x:c>
      <x:c r="E177" t="n">
        <x:f>MAX(10,ROUNDDOWN((('Calculator'!$B$10+A177)*SQRT('Calculator'!$B$11+B177)*SQRT('Calculator'!$B$12+C177)*0.667934^2)/10,0))</x:f>
        <x:v>2868</x:v>
      </x:c>
      <x:c r="F177" t="n">
        <x:f>--AND(A177&gt;='Calculator'!$B$5,B177&gt;='Calculator'!$B$5,C177&gt;='Calculator'!$B$5)</x:f>
        <x:v>1</x:v>
      </x:c>
      <x:c r="G177" t="n">
        <x:f>--AND(A177+'Calculator'!$B$6&gt;=15,B177+'Calculator'!$B$6&gt;=15,C177+'Calculator'!$B$6&gt;=15)</x:f>
        <x:v>0</x:v>
      </x:c>
      <x:c r="H177" t="n">
        <x:f>--AND(F177=1,D177='Calculator'!$B$4)</x:f>
        <x:v>0</x:v>
      </x:c>
      <x:c r="I177" t="n">
        <x:f>--AND(H177=1,G177=1)</x:f>
        <x:v>0</x:v>
      </x:c>
      <x:c r="J177" t="n">
        <x:f>--AND(F177=1,E177='Calculator'!$B$4)</x:f>
        <x:v>0</x:v>
      </x:c>
      <x:c r="K177" t="n">
        <x:f>--AND(J177=1,G177=1)</x:f>
        <x:v>0</x:v>
      </x:c>
      <x:c r="L177" t="str">
        <x:f>A177&amp;"/"&amp;B177&amp;"/"&amp;C177</x:f>
        <x:v>7/13/11</x:v>
      </x:c>
      <x:c r="M177" t="str">
        <x:f>MIN(15,A177+'Calculator'!$B$6)&amp;"/"&amp;MIN(15,B177+'Calculator'!$B$6)&amp;"/"&amp;MIN(15,C177+'Calculator'!$B$6)</x:f>
        <x:v>9/15/13</x:v>
      </x:c>
    </x:row>
    <x:row r="178">
      <x:c r="A178" t="n">
        <x:v>7</x:v>
      </x:c>
      <x:c r="B178" t="n">
        <x:v>13</x:v>
      </x:c>
      <x:c r="C178" t="n">
        <x:v>12</x:v>
      </x:c>
      <x:c r="D178" t="n">
        <x:f>MAX(10,ROUNDDOWN((('Calculator'!$B$10+A178)*SQRT('Calculator'!$B$11+B178)*SQRT('Calculator'!$B$12+C178)*0.59740001^2)/10,0))</x:f>
        <x:v>2300</x:v>
      </x:c>
      <x:c r="E178" t="n">
        <x:f>MAX(10,ROUNDDOWN((('Calculator'!$B$10+A178)*SQRT('Calculator'!$B$11+B178)*SQRT('Calculator'!$B$12+C178)*0.667934^2)/10,0))</x:f>
        <x:v>2875</x:v>
      </x:c>
      <x:c r="F178" t="n">
        <x:f>--AND(A178&gt;='Calculator'!$B$5,B178&gt;='Calculator'!$B$5,C178&gt;='Calculator'!$B$5)</x:f>
        <x:v>1</x:v>
      </x:c>
      <x:c r="G178" t="n">
        <x:f>--AND(A178+'Calculator'!$B$6&gt;=15,B178+'Calculator'!$B$6&gt;=15,C178+'Calculator'!$B$6&gt;=15)</x:f>
        <x:v>0</x:v>
      </x:c>
      <x:c r="H178" t="n">
        <x:f>--AND(F178=1,D178='Calculator'!$B$4)</x:f>
        <x:v>0</x:v>
      </x:c>
      <x:c r="I178" t="n">
        <x:f>--AND(H178=1,G178=1)</x:f>
        <x:v>0</x:v>
      </x:c>
      <x:c r="J178" t="n">
        <x:f>--AND(F178=1,E178='Calculator'!$B$4)</x:f>
        <x:v>0</x:v>
      </x:c>
      <x:c r="K178" t="n">
        <x:f>--AND(J178=1,G178=1)</x:f>
        <x:v>0</x:v>
      </x:c>
      <x:c r="L178" t="str">
        <x:f>A178&amp;"/"&amp;B178&amp;"/"&amp;C178</x:f>
        <x:v>7/13/12</x:v>
      </x:c>
      <x:c r="M178" t="str">
        <x:f>MIN(15,A178+'Calculator'!$B$6)&amp;"/"&amp;MIN(15,B178+'Calculator'!$B$6)&amp;"/"&amp;MIN(15,C178+'Calculator'!$B$6)</x:f>
        <x:v>9/15/14</x:v>
      </x:c>
    </x:row>
    <x:row r="179">
      <x:c r="A179" t="n">
        <x:v>7</x:v>
      </x:c>
      <x:c r="B179" t="n">
        <x:v>13</x:v>
      </x:c>
      <x:c r="C179" t="n">
        <x:v>13</x:v>
      </x:c>
      <x:c r="D179" t="n">
        <x:f>MAX(10,ROUNDDOWN((('Calculator'!$B$10+A179)*SQRT('Calculator'!$B$11+B179)*SQRT('Calculator'!$B$12+C179)*0.59740001^2)/10,0))</x:f>
        <x:v>2305</x:v>
      </x:c>
      <x:c r="E179" t="n">
        <x:f>MAX(10,ROUNDDOWN((('Calculator'!$B$10+A179)*SQRT('Calculator'!$B$11+B179)*SQRT('Calculator'!$B$12+C179)*0.667934^2)/10,0))</x:f>
        <x:v>2881</x:v>
      </x:c>
      <x:c r="F179" t="n">
        <x:f>--AND(A179&gt;='Calculator'!$B$5,B179&gt;='Calculator'!$B$5,C179&gt;='Calculator'!$B$5)</x:f>
        <x:v>1</x:v>
      </x:c>
      <x:c r="G179" t="n">
        <x:f>--AND(A179+'Calculator'!$B$6&gt;=15,B179+'Calculator'!$B$6&gt;=15,C179+'Calculator'!$B$6&gt;=15)</x:f>
        <x:v>0</x:v>
      </x:c>
      <x:c r="H179" t="n">
        <x:f>--AND(F179=1,D179='Calculator'!$B$4)</x:f>
        <x:v>0</x:v>
      </x:c>
      <x:c r="I179" t="n">
        <x:f>--AND(H179=1,G179=1)</x:f>
        <x:v>0</x:v>
      </x:c>
      <x:c r="J179" t="n">
        <x:f>--AND(F179=1,E179='Calculator'!$B$4)</x:f>
        <x:v>0</x:v>
      </x:c>
      <x:c r="K179" t="n">
        <x:f>--AND(J179=1,G179=1)</x:f>
        <x:v>0</x:v>
      </x:c>
      <x:c r="L179" t="str">
        <x:f>A179&amp;"/"&amp;B179&amp;"/"&amp;C179</x:f>
        <x:v>7/13/13</x:v>
      </x:c>
      <x:c r="M179" t="str">
        <x:f>MIN(15,A179+'Calculator'!$B$6)&amp;"/"&amp;MIN(15,B179+'Calculator'!$B$6)&amp;"/"&amp;MIN(15,C179+'Calculator'!$B$6)</x:f>
        <x:v>9/15/15</x:v>
      </x:c>
    </x:row>
    <x:row r="180">
      <x:c r="A180" t="n">
        <x:v>7</x:v>
      </x:c>
      <x:c r="B180" t="n">
        <x:v>13</x:v>
      </x:c>
      <x:c r="C180" t="n">
        <x:v>14</x:v>
      </x:c>
      <x:c r="D180" t="n">
        <x:f>MAX(10,ROUNDDOWN((('Calculator'!$B$10+A180)*SQRT('Calculator'!$B$11+B180)*SQRT('Calculator'!$B$12+C180)*0.59740001^2)/10,0))</x:f>
        <x:v>2310</x:v>
      </x:c>
      <x:c r="E180" t="n">
        <x:f>MAX(10,ROUNDDOWN((('Calculator'!$B$10+A180)*SQRT('Calculator'!$B$11+B180)*SQRT('Calculator'!$B$12+C180)*0.667934^2)/10,0))</x:f>
        <x:v>2887</x:v>
      </x:c>
      <x:c r="F180" t="n">
        <x:f>--AND(A180&gt;='Calculator'!$B$5,B180&gt;='Calculator'!$B$5,C180&gt;='Calculator'!$B$5)</x:f>
        <x:v>1</x:v>
      </x:c>
      <x:c r="G180" t="n">
        <x:f>--AND(A180+'Calculator'!$B$6&gt;=15,B180+'Calculator'!$B$6&gt;=15,C180+'Calculator'!$B$6&gt;=15)</x:f>
        <x:v>0</x:v>
      </x:c>
      <x:c r="H180" t="n">
        <x:f>--AND(F180=1,D180='Calculator'!$B$4)</x:f>
        <x:v>0</x:v>
      </x:c>
      <x:c r="I180" t="n">
        <x:f>--AND(H180=1,G180=1)</x:f>
        <x:v>0</x:v>
      </x:c>
      <x:c r="J180" t="n">
        <x:f>--AND(F180=1,E180='Calculator'!$B$4)</x:f>
        <x:v>0</x:v>
      </x:c>
      <x:c r="K180" t="n">
        <x:f>--AND(J180=1,G180=1)</x:f>
        <x:v>0</x:v>
      </x:c>
      <x:c r="L180" t="str">
        <x:f>A180&amp;"/"&amp;B180&amp;"/"&amp;C180</x:f>
        <x:v>7/13/14</x:v>
      </x:c>
      <x:c r="M180" t="str">
        <x:f>MIN(15,A180+'Calculator'!$B$6)&amp;"/"&amp;MIN(15,B180+'Calculator'!$B$6)&amp;"/"&amp;MIN(15,C180+'Calculator'!$B$6)</x:f>
        <x:v>9/15/15</x:v>
      </x:c>
    </x:row>
    <x:row r="181">
      <x:c r="A181" t="n">
        <x:v>7</x:v>
      </x:c>
      <x:c r="B181" t="n">
        <x:v>13</x:v>
      </x:c>
      <x:c r="C181" t="n">
        <x:v>15</x:v>
      </x:c>
      <x:c r="D181" t="n">
        <x:f>MAX(10,ROUNDDOWN((('Calculator'!$B$10+A181)*SQRT('Calculator'!$B$11+B181)*SQRT('Calculator'!$B$12+C181)*0.59740001^2)/10,0))</x:f>
        <x:v>2315</x:v>
      </x:c>
      <x:c r="E181" t="n">
        <x:f>MAX(10,ROUNDDOWN((('Calculator'!$B$10+A181)*SQRT('Calculator'!$B$11+B181)*SQRT('Calculator'!$B$12+C181)*0.667934^2)/10,0))</x:f>
        <x:v>2894</x:v>
      </x:c>
      <x:c r="F181" t="n">
        <x:f>--AND(A181&gt;='Calculator'!$B$5,B181&gt;='Calculator'!$B$5,C181&gt;='Calculator'!$B$5)</x:f>
        <x:v>1</x:v>
      </x:c>
      <x:c r="G181" t="n">
        <x:f>--AND(A181+'Calculator'!$B$6&gt;=15,B181+'Calculator'!$B$6&gt;=15,C181+'Calculator'!$B$6&gt;=15)</x:f>
        <x:v>0</x:v>
      </x:c>
      <x:c r="H181" t="n">
        <x:f>--AND(F181=1,D181='Calculator'!$B$4)</x:f>
        <x:v>0</x:v>
      </x:c>
      <x:c r="I181" t="n">
        <x:f>--AND(H181=1,G181=1)</x:f>
        <x:v>0</x:v>
      </x:c>
      <x:c r="J181" t="n">
        <x:f>--AND(F181=1,E181='Calculator'!$B$4)</x:f>
        <x:v>0</x:v>
      </x:c>
      <x:c r="K181" t="n">
        <x:f>--AND(J181=1,G181=1)</x:f>
        <x:v>0</x:v>
      </x:c>
      <x:c r="L181" t="str">
        <x:f>A181&amp;"/"&amp;B181&amp;"/"&amp;C181</x:f>
        <x:v>7/13/15</x:v>
      </x:c>
      <x:c r="M181" t="str">
        <x:f>MIN(15,A181+'Calculator'!$B$6)&amp;"/"&amp;MIN(15,B181+'Calculator'!$B$6)&amp;"/"&amp;MIN(15,C181+'Calculator'!$B$6)</x:f>
        <x:v>9/15/15</x:v>
      </x:c>
    </x:row>
    <x:row r="182">
      <x:c r="A182" t="n">
        <x:v>7</x:v>
      </x:c>
      <x:c r="B182" t="n">
        <x:v>14</x:v>
      </x:c>
      <x:c r="C182" t="n">
        <x:v>6</x:v>
      </x:c>
      <x:c r="D182" t="n">
        <x:f>MAX(10,ROUNDDOWN((('Calculator'!$B$10+A182)*SQRT('Calculator'!$B$11+B182)*SQRT('Calculator'!$B$12+C182)*0.59740001^2)/10,0))</x:f>
        <x:v>2275</x:v>
      </x:c>
      <x:c r="E182" t="n">
        <x:f>MAX(10,ROUNDDOWN((('Calculator'!$B$10+A182)*SQRT('Calculator'!$B$11+B182)*SQRT('Calculator'!$B$12+C182)*0.667934^2)/10,0))</x:f>
        <x:v>2844</x:v>
      </x:c>
      <x:c r="F182" t="n">
        <x:f>--AND(A182&gt;='Calculator'!$B$5,B182&gt;='Calculator'!$B$5,C182&gt;='Calculator'!$B$5)</x:f>
        <x:v>1</x:v>
      </x:c>
      <x:c r="G182" t="n">
        <x:f>--AND(A182+'Calculator'!$B$6&gt;=15,B182+'Calculator'!$B$6&gt;=15,C182+'Calculator'!$B$6&gt;=15)</x:f>
        <x:v>0</x:v>
      </x:c>
      <x:c r="H182" t="n">
        <x:f>--AND(F182=1,D182='Calculator'!$B$4)</x:f>
        <x:v>0</x:v>
      </x:c>
      <x:c r="I182" t="n">
        <x:f>--AND(H182=1,G182=1)</x:f>
        <x:v>0</x:v>
      </x:c>
      <x:c r="J182" t="n">
        <x:f>--AND(F182=1,E182='Calculator'!$B$4)</x:f>
        <x:v>0</x:v>
      </x:c>
      <x:c r="K182" t="n">
        <x:f>--AND(J182=1,G182=1)</x:f>
        <x:v>0</x:v>
      </x:c>
      <x:c r="L182" t="str">
        <x:f>A182&amp;"/"&amp;B182&amp;"/"&amp;C182</x:f>
        <x:v>7/14/6</x:v>
      </x:c>
      <x:c r="M182" t="str">
        <x:f>MIN(15,A182+'Calculator'!$B$6)&amp;"/"&amp;MIN(15,B182+'Calculator'!$B$6)&amp;"/"&amp;MIN(15,C182+'Calculator'!$B$6)</x:f>
        <x:v>9/15/8</x:v>
      </x:c>
    </x:row>
    <x:row r="183">
      <x:c r="A183" t="n">
        <x:v>7</x:v>
      </x:c>
      <x:c r="B183" t="n">
        <x:v>14</x:v>
      </x:c>
      <x:c r="C183" t="n">
        <x:v>7</x:v>
      </x:c>
      <x:c r="D183" t="n">
        <x:f>MAX(10,ROUNDDOWN((('Calculator'!$B$10+A183)*SQRT('Calculator'!$B$11+B183)*SQRT('Calculator'!$B$12+C183)*0.59740001^2)/10,0))</x:f>
        <x:v>2280</x:v>
      </x:c>
      <x:c r="E183" t="n">
        <x:f>MAX(10,ROUNDDOWN((('Calculator'!$B$10+A183)*SQRT('Calculator'!$B$11+B183)*SQRT('Calculator'!$B$12+C183)*0.667934^2)/10,0))</x:f>
        <x:v>2850</x:v>
      </x:c>
      <x:c r="F183" t="n">
        <x:f>--AND(A183&gt;='Calculator'!$B$5,B183&gt;='Calculator'!$B$5,C183&gt;='Calculator'!$B$5)</x:f>
        <x:v>1</x:v>
      </x:c>
      <x:c r="G183" t="n">
        <x:f>--AND(A183+'Calculator'!$B$6&gt;=15,B183+'Calculator'!$B$6&gt;=15,C183+'Calculator'!$B$6&gt;=15)</x:f>
        <x:v>0</x:v>
      </x:c>
      <x:c r="H183" t="n">
        <x:f>--AND(F183=1,D183='Calculator'!$B$4)</x:f>
        <x:v>0</x:v>
      </x:c>
      <x:c r="I183" t="n">
        <x:f>--AND(H183=1,G183=1)</x:f>
        <x:v>0</x:v>
      </x:c>
      <x:c r="J183" t="n">
        <x:f>--AND(F183=1,E183='Calculator'!$B$4)</x:f>
        <x:v>0</x:v>
      </x:c>
      <x:c r="K183" t="n">
        <x:f>--AND(J183=1,G183=1)</x:f>
        <x:v>0</x:v>
      </x:c>
      <x:c r="L183" t="str">
        <x:f>A183&amp;"/"&amp;B183&amp;"/"&amp;C183</x:f>
        <x:v>7/14/7</x:v>
      </x:c>
      <x:c r="M183" t="str">
        <x:f>MIN(15,A183+'Calculator'!$B$6)&amp;"/"&amp;MIN(15,B183+'Calculator'!$B$6)&amp;"/"&amp;MIN(15,C183+'Calculator'!$B$6)</x:f>
        <x:v>9/15/9</x:v>
      </x:c>
    </x:row>
    <x:row r="184">
      <x:c r="A184" t="n">
        <x:v>7</x:v>
      </x:c>
      <x:c r="B184" t="n">
        <x:v>14</x:v>
      </x:c>
      <x:c r="C184" t="n">
        <x:v>8</x:v>
      </x:c>
      <x:c r="D184" t="n">
        <x:f>MAX(10,ROUNDDOWN((('Calculator'!$B$10+A184)*SQRT('Calculator'!$B$11+B184)*SQRT('Calculator'!$B$12+C184)*0.59740001^2)/10,0))</x:f>
        <x:v>2285</x:v>
      </x:c>
      <x:c r="E184" t="n">
        <x:f>MAX(10,ROUNDDOWN((('Calculator'!$B$10+A184)*SQRT('Calculator'!$B$11+B184)*SQRT('Calculator'!$B$12+C184)*0.667934^2)/10,0))</x:f>
        <x:v>2856</x:v>
      </x:c>
      <x:c r="F184" t="n">
        <x:f>--AND(A184&gt;='Calculator'!$B$5,B184&gt;='Calculator'!$B$5,C184&gt;='Calculator'!$B$5)</x:f>
        <x:v>1</x:v>
      </x:c>
      <x:c r="G184" t="n">
        <x:f>--AND(A184+'Calculator'!$B$6&gt;=15,B184+'Calculator'!$B$6&gt;=15,C184+'Calculator'!$B$6&gt;=15)</x:f>
        <x:v>0</x:v>
      </x:c>
      <x:c r="H184" t="n">
        <x:f>--AND(F184=1,D184='Calculator'!$B$4)</x:f>
        <x:v>0</x:v>
      </x:c>
      <x:c r="I184" t="n">
        <x:f>--AND(H184=1,G184=1)</x:f>
        <x:v>0</x:v>
      </x:c>
      <x:c r="J184" t="n">
        <x:f>--AND(F184=1,E184='Calculator'!$B$4)</x:f>
        <x:v>0</x:v>
      </x:c>
      <x:c r="K184" t="n">
        <x:f>--AND(J184=1,G184=1)</x:f>
        <x:v>0</x:v>
      </x:c>
      <x:c r="L184" t="str">
        <x:f>A184&amp;"/"&amp;B184&amp;"/"&amp;C184</x:f>
        <x:v>7/14/8</x:v>
      </x:c>
      <x:c r="M184" t="str">
        <x:f>MIN(15,A184+'Calculator'!$B$6)&amp;"/"&amp;MIN(15,B184+'Calculator'!$B$6)&amp;"/"&amp;MIN(15,C184+'Calculator'!$B$6)</x:f>
        <x:v>9/15/10</x:v>
      </x:c>
    </x:row>
    <x:row r="185">
      <x:c r="A185" t="n">
        <x:v>7</x:v>
      </x:c>
      <x:c r="B185" t="n">
        <x:v>14</x:v>
      </x:c>
      <x:c r="C185" t="n">
        <x:v>9</x:v>
      </x:c>
      <x:c r="D185" t="n">
        <x:f>MAX(10,ROUNDDOWN((('Calculator'!$B$10+A185)*SQRT('Calculator'!$B$11+B185)*SQRT('Calculator'!$B$12+C185)*0.59740001^2)/10,0))</x:f>
        <x:v>2290</x:v>
      </x:c>
      <x:c r="E185" t="n">
        <x:f>MAX(10,ROUNDDOWN((('Calculator'!$B$10+A185)*SQRT('Calculator'!$B$11+B185)*SQRT('Calculator'!$B$12+C185)*0.667934^2)/10,0))</x:f>
        <x:v>2863</x:v>
      </x:c>
      <x:c r="F185" t="n">
        <x:f>--AND(A185&gt;='Calculator'!$B$5,B185&gt;='Calculator'!$B$5,C185&gt;='Calculator'!$B$5)</x:f>
        <x:v>1</x:v>
      </x:c>
      <x:c r="G185" t="n">
        <x:f>--AND(A185+'Calculator'!$B$6&gt;=15,B185+'Calculator'!$B$6&gt;=15,C185+'Calculator'!$B$6&gt;=15)</x:f>
        <x:v>0</x:v>
      </x:c>
      <x:c r="H185" t="n">
        <x:f>--AND(F185=1,D185='Calculator'!$B$4)</x:f>
        <x:v>0</x:v>
      </x:c>
      <x:c r="I185" t="n">
        <x:f>--AND(H185=1,G185=1)</x:f>
        <x:v>0</x:v>
      </x:c>
      <x:c r="J185" t="n">
        <x:f>--AND(F185=1,E185='Calculator'!$B$4)</x:f>
        <x:v>0</x:v>
      </x:c>
      <x:c r="K185" t="n">
        <x:f>--AND(J185=1,G185=1)</x:f>
        <x:v>0</x:v>
      </x:c>
      <x:c r="L185" t="str">
        <x:f>A185&amp;"/"&amp;B185&amp;"/"&amp;C185</x:f>
        <x:v>7/14/9</x:v>
      </x:c>
      <x:c r="M185" t="str">
        <x:f>MIN(15,A185+'Calculator'!$B$6)&amp;"/"&amp;MIN(15,B185+'Calculator'!$B$6)&amp;"/"&amp;MIN(15,C185+'Calculator'!$B$6)</x:f>
        <x:v>9/15/11</x:v>
      </x:c>
    </x:row>
    <x:row r="186">
      <x:c r="A186" t="n">
        <x:v>7</x:v>
      </x:c>
      <x:c r="B186" t="n">
        <x:v>14</x:v>
      </x:c>
      <x:c r="C186" t="n">
        <x:v>10</x:v>
      </x:c>
      <x:c r="D186" t="n">
        <x:f>MAX(10,ROUNDDOWN((('Calculator'!$B$10+A186)*SQRT('Calculator'!$B$11+B186)*SQRT('Calculator'!$B$12+C186)*0.59740001^2)/10,0))</x:f>
        <x:v>2295</x:v>
      </x:c>
      <x:c r="E186" t="n">
        <x:f>MAX(10,ROUNDDOWN((('Calculator'!$B$10+A186)*SQRT('Calculator'!$B$11+B186)*SQRT('Calculator'!$B$12+C186)*0.667934^2)/10,0))</x:f>
        <x:v>2869</x:v>
      </x:c>
      <x:c r="F186" t="n">
        <x:f>--AND(A186&gt;='Calculator'!$B$5,B186&gt;='Calculator'!$B$5,C186&gt;='Calculator'!$B$5)</x:f>
        <x:v>1</x:v>
      </x:c>
      <x:c r="G186" t="n">
        <x:f>--AND(A186+'Calculator'!$B$6&gt;=15,B186+'Calculator'!$B$6&gt;=15,C186+'Calculator'!$B$6&gt;=15)</x:f>
        <x:v>0</x:v>
      </x:c>
      <x:c r="H186" t="n">
        <x:f>--AND(F186=1,D186='Calculator'!$B$4)</x:f>
        <x:v>0</x:v>
      </x:c>
      <x:c r="I186" t="n">
        <x:f>--AND(H186=1,G186=1)</x:f>
        <x:v>0</x:v>
      </x:c>
      <x:c r="J186" t="n">
        <x:f>--AND(F186=1,E186='Calculator'!$B$4)</x:f>
        <x:v>0</x:v>
      </x:c>
      <x:c r="K186" t="n">
        <x:f>--AND(J186=1,G186=1)</x:f>
        <x:v>0</x:v>
      </x:c>
      <x:c r="L186" t="str">
        <x:f>A186&amp;"/"&amp;B186&amp;"/"&amp;C186</x:f>
        <x:v>7/14/10</x:v>
      </x:c>
      <x:c r="M186" t="str">
        <x:f>MIN(15,A186+'Calculator'!$B$6)&amp;"/"&amp;MIN(15,B186+'Calculator'!$B$6)&amp;"/"&amp;MIN(15,C186+'Calculator'!$B$6)</x:f>
        <x:v>9/15/12</x:v>
      </x:c>
    </x:row>
    <x:row r="187">
      <x:c r="A187" t="n">
        <x:v>7</x:v>
      </x:c>
      <x:c r="B187" t="n">
        <x:v>14</x:v>
      </x:c>
      <x:c r="C187" t="n">
        <x:v>11</x:v>
      </x:c>
      <x:c r="D187" t="n">
        <x:f>MAX(10,ROUNDDOWN((('Calculator'!$B$10+A187)*SQRT('Calculator'!$B$11+B187)*SQRT('Calculator'!$B$12+C187)*0.59740001^2)/10,0))</x:f>
        <x:v>2300</x:v>
      </x:c>
      <x:c r="E187" t="n">
        <x:f>MAX(10,ROUNDDOWN((('Calculator'!$B$10+A187)*SQRT('Calculator'!$B$11+B187)*SQRT('Calculator'!$B$12+C187)*0.667934^2)/10,0))</x:f>
        <x:v>2876</x:v>
      </x:c>
      <x:c r="F187" t="n">
        <x:f>--AND(A187&gt;='Calculator'!$B$5,B187&gt;='Calculator'!$B$5,C187&gt;='Calculator'!$B$5)</x:f>
        <x:v>1</x:v>
      </x:c>
      <x:c r="G187" t="n">
        <x:f>--AND(A187+'Calculator'!$B$6&gt;=15,B187+'Calculator'!$B$6&gt;=15,C187+'Calculator'!$B$6&gt;=15)</x:f>
        <x:v>0</x:v>
      </x:c>
      <x:c r="H187" t="n">
        <x:f>--AND(F187=1,D187='Calculator'!$B$4)</x:f>
        <x:v>0</x:v>
      </x:c>
      <x:c r="I187" t="n">
        <x:f>--AND(H187=1,G187=1)</x:f>
        <x:v>0</x:v>
      </x:c>
      <x:c r="J187" t="n">
        <x:f>--AND(F187=1,E187='Calculator'!$B$4)</x:f>
        <x:v>0</x:v>
      </x:c>
      <x:c r="K187" t="n">
        <x:f>--AND(J187=1,G187=1)</x:f>
        <x:v>0</x:v>
      </x:c>
      <x:c r="L187" t="str">
        <x:f>A187&amp;"/"&amp;B187&amp;"/"&amp;C187</x:f>
        <x:v>7/14/11</x:v>
      </x:c>
      <x:c r="M187" t="str">
        <x:f>MIN(15,A187+'Calculator'!$B$6)&amp;"/"&amp;MIN(15,B187+'Calculator'!$B$6)&amp;"/"&amp;MIN(15,C187+'Calculator'!$B$6)</x:f>
        <x:v>9/15/13</x:v>
      </x:c>
    </x:row>
    <x:row r="188">
      <x:c r="A188" t="n">
        <x:v>7</x:v>
      </x:c>
      <x:c r="B188" t="n">
        <x:v>14</x:v>
      </x:c>
      <x:c r="C188" t="n">
        <x:v>12</x:v>
      </x:c>
      <x:c r="D188" t="n">
        <x:f>MAX(10,ROUNDDOWN((('Calculator'!$B$10+A188)*SQRT('Calculator'!$B$11+B188)*SQRT('Calculator'!$B$12+C188)*0.59740001^2)/10,0))</x:f>
        <x:v>2305</x:v>
      </x:c>
      <x:c r="E188" t="n">
        <x:f>MAX(10,ROUNDDOWN((('Calculator'!$B$10+A188)*SQRT('Calculator'!$B$11+B188)*SQRT('Calculator'!$B$12+C188)*0.667934^2)/10,0))</x:f>
        <x:v>2882</x:v>
      </x:c>
      <x:c r="F188" t="n">
        <x:f>--AND(A188&gt;='Calculator'!$B$5,B188&gt;='Calculator'!$B$5,C188&gt;='Calculator'!$B$5)</x:f>
        <x:v>1</x:v>
      </x:c>
      <x:c r="G188" t="n">
        <x:f>--AND(A188+'Calculator'!$B$6&gt;=15,B188+'Calculator'!$B$6&gt;=15,C188+'Calculator'!$B$6&gt;=15)</x:f>
        <x:v>0</x:v>
      </x:c>
      <x:c r="H188" t="n">
        <x:f>--AND(F188=1,D188='Calculator'!$B$4)</x:f>
        <x:v>0</x:v>
      </x:c>
      <x:c r="I188" t="n">
        <x:f>--AND(H188=1,G188=1)</x:f>
        <x:v>0</x:v>
      </x:c>
      <x:c r="J188" t="n">
        <x:f>--AND(F188=1,E188='Calculator'!$B$4)</x:f>
        <x:v>0</x:v>
      </x:c>
      <x:c r="K188" t="n">
        <x:f>--AND(J188=1,G188=1)</x:f>
        <x:v>0</x:v>
      </x:c>
      <x:c r="L188" t="str">
        <x:f>A188&amp;"/"&amp;B188&amp;"/"&amp;C188</x:f>
        <x:v>7/14/12</x:v>
      </x:c>
      <x:c r="M188" t="str">
        <x:f>MIN(15,A188+'Calculator'!$B$6)&amp;"/"&amp;MIN(15,B188+'Calculator'!$B$6)&amp;"/"&amp;MIN(15,C188+'Calculator'!$B$6)</x:f>
        <x:v>9/15/14</x:v>
      </x:c>
    </x:row>
    <x:row r="189">
      <x:c r="A189" t="n">
        <x:v>7</x:v>
      </x:c>
      <x:c r="B189" t="n">
        <x:v>14</x:v>
      </x:c>
      <x:c r="C189" t="n">
        <x:v>13</x:v>
      </x:c>
      <x:c r="D189" t="n">
        <x:f>MAX(10,ROUNDDOWN((('Calculator'!$B$10+A189)*SQRT('Calculator'!$B$11+B189)*SQRT('Calculator'!$B$12+C189)*0.59740001^2)/10,0))</x:f>
        <x:v>2311</x:v>
      </x:c>
      <x:c r="E189" t="n">
        <x:f>MAX(10,ROUNDDOWN((('Calculator'!$B$10+A189)*SQRT('Calculator'!$B$11+B189)*SQRT('Calculator'!$B$12+C189)*0.667934^2)/10,0))</x:f>
        <x:v>2888</x:v>
      </x:c>
      <x:c r="F189" t="n">
        <x:f>--AND(A189&gt;='Calculator'!$B$5,B189&gt;='Calculator'!$B$5,C189&gt;='Calculator'!$B$5)</x:f>
        <x:v>1</x:v>
      </x:c>
      <x:c r="G189" t="n">
        <x:f>--AND(A189+'Calculator'!$B$6&gt;=15,B189+'Calculator'!$B$6&gt;=15,C189+'Calculator'!$B$6&gt;=15)</x:f>
        <x:v>0</x:v>
      </x:c>
      <x:c r="H189" t="n">
        <x:f>--AND(F189=1,D189='Calculator'!$B$4)</x:f>
        <x:v>0</x:v>
      </x:c>
      <x:c r="I189" t="n">
        <x:f>--AND(H189=1,G189=1)</x:f>
        <x:v>0</x:v>
      </x:c>
      <x:c r="J189" t="n">
        <x:f>--AND(F189=1,E189='Calculator'!$B$4)</x:f>
        <x:v>0</x:v>
      </x:c>
      <x:c r="K189" t="n">
        <x:f>--AND(J189=1,G189=1)</x:f>
        <x:v>0</x:v>
      </x:c>
      <x:c r="L189" t="str">
        <x:f>A189&amp;"/"&amp;B189&amp;"/"&amp;C189</x:f>
        <x:v>7/14/13</x:v>
      </x:c>
      <x:c r="M189" t="str">
        <x:f>MIN(15,A189+'Calculator'!$B$6)&amp;"/"&amp;MIN(15,B189+'Calculator'!$B$6)&amp;"/"&amp;MIN(15,C189+'Calculator'!$B$6)</x:f>
        <x:v>9/15/15</x:v>
      </x:c>
    </x:row>
    <x:row r="190">
      <x:c r="A190" t="n">
        <x:v>7</x:v>
      </x:c>
      <x:c r="B190" t="n">
        <x:v>14</x:v>
      </x:c>
      <x:c r="C190" t="n">
        <x:v>14</x:v>
      </x:c>
      <x:c r="D190" t="n">
        <x:f>MAX(10,ROUNDDOWN((('Calculator'!$B$10+A190)*SQRT('Calculator'!$B$11+B190)*SQRT('Calculator'!$B$12+C190)*0.59740001^2)/10,0))</x:f>
        <x:v>2316</x:v>
      </x:c>
      <x:c r="E190" t="n">
        <x:f>MAX(10,ROUNDDOWN((('Calculator'!$B$10+A190)*SQRT('Calculator'!$B$11+B190)*SQRT('Calculator'!$B$12+C190)*0.667934^2)/10,0))</x:f>
        <x:v>2895</x:v>
      </x:c>
      <x:c r="F190" t="n">
        <x:f>--AND(A190&gt;='Calculator'!$B$5,B190&gt;='Calculator'!$B$5,C190&gt;='Calculator'!$B$5)</x:f>
        <x:v>1</x:v>
      </x:c>
      <x:c r="G190" t="n">
        <x:f>--AND(A190+'Calculator'!$B$6&gt;=15,B190+'Calculator'!$B$6&gt;=15,C190+'Calculator'!$B$6&gt;=15)</x:f>
        <x:v>0</x:v>
      </x:c>
      <x:c r="H190" t="n">
        <x:f>--AND(F190=1,D190='Calculator'!$B$4)</x:f>
        <x:v>0</x:v>
      </x:c>
      <x:c r="I190" t="n">
        <x:f>--AND(H190=1,G190=1)</x:f>
        <x:v>0</x:v>
      </x:c>
      <x:c r="J190" t="n">
        <x:f>--AND(F190=1,E190='Calculator'!$B$4)</x:f>
        <x:v>0</x:v>
      </x:c>
      <x:c r="K190" t="n">
        <x:f>--AND(J190=1,G190=1)</x:f>
        <x:v>0</x:v>
      </x:c>
      <x:c r="L190" t="str">
        <x:f>A190&amp;"/"&amp;B190&amp;"/"&amp;C190</x:f>
        <x:v>7/14/14</x:v>
      </x:c>
      <x:c r="M190" t="str">
        <x:f>MIN(15,A190+'Calculator'!$B$6)&amp;"/"&amp;MIN(15,B190+'Calculator'!$B$6)&amp;"/"&amp;MIN(15,C190+'Calculator'!$B$6)</x:f>
        <x:v>9/15/15</x:v>
      </x:c>
    </x:row>
    <x:row r="191">
      <x:c r="A191" t="n">
        <x:v>7</x:v>
      </x:c>
      <x:c r="B191" t="n">
        <x:v>14</x:v>
      </x:c>
      <x:c r="C191" t="n">
        <x:v>15</x:v>
      </x:c>
      <x:c r="D191" t="n">
        <x:f>MAX(10,ROUNDDOWN((('Calculator'!$B$10+A191)*SQRT('Calculator'!$B$11+B191)*SQRT('Calculator'!$B$12+C191)*0.59740001^2)/10,0))</x:f>
        <x:v>2321</x:v>
      </x:c>
      <x:c r="E191" t="n">
        <x:f>MAX(10,ROUNDDOWN((('Calculator'!$B$10+A191)*SQRT('Calculator'!$B$11+B191)*SQRT('Calculator'!$B$12+C191)*0.667934^2)/10,0))</x:f>
        <x:v>2901</x:v>
      </x:c>
      <x:c r="F191" t="n">
        <x:f>--AND(A191&gt;='Calculator'!$B$5,B191&gt;='Calculator'!$B$5,C191&gt;='Calculator'!$B$5)</x:f>
        <x:v>1</x:v>
      </x:c>
      <x:c r="G191" t="n">
        <x:f>--AND(A191+'Calculator'!$B$6&gt;=15,B191+'Calculator'!$B$6&gt;=15,C191+'Calculator'!$B$6&gt;=15)</x:f>
        <x:v>0</x:v>
      </x:c>
      <x:c r="H191" t="n">
        <x:f>--AND(F191=1,D191='Calculator'!$B$4)</x:f>
        <x:v>0</x:v>
      </x:c>
      <x:c r="I191" t="n">
        <x:f>--AND(H191=1,G191=1)</x:f>
        <x:v>0</x:v>
      </x:c>
      <x:c r="J191" t="n">
        <x:f>--AND(F191=1,E191='Calculator'!$B$4)</x:f>
        <x:v>0</x:v>
      </x:c>
      <x:c r="K191" t="n">
        <x:f>--AND(J191=1,G191=1)</x:f>
        <x:v>0</x:v>
      </x:c>
      <x:c r="L191" t="str">
        <x:f>A191&amp;"/"&amp;B191&amp;"/"&amp;C191</x:f>
        <x:v>7/14/15</x:v>
      </x:c>
      <x:c r="M191" t="str">
        <x:f>MIN(15,A191+'Calculator'!$B$6)&amp;"/"&amp;MIN(15,B191+'Calculator'!$B$6)&amp;"/"&amp;MIN(15,C191+'Calculator'!$B$6)</x:f>
        <x:v>9/15/15</x:v>
      </x:c>
    </x:row>
    <x:row r="192">
      <x:c r="A192" t="n">
        <x:v>7</x:v>
      </x:c>
      <x:c r="B192" t="n">
        <x:v>15</x:v>
      </x:c>
      <x:c r="C192" t="n">
        <x:v>6</x:v>
      </x:c>
      <x:c r="D192" t="n">
        <x:f>MAX(10,ROUNDDOWN((('Calculator'!$B$10+A192)*SQRT('Calculator'!$B$11+B192)*SQRT('Calculator'!$B$12+C192)*0.59740001^2)/10,0))</x:f>
        <x:v>2280</x:v>
      </x:c>
      <x:c r="E192" t="n">
        <x:f>MAX(10,ROUNDDOWN((('Calculator'!$B$10+A192)*SQRT('Calculator'!$B$11+B192)*SQRT('Calculator'!$B$12+C192)*0.667934^2)/10,0))</x:f>
        <x:v>2851</x:v>
      </x:c>
      <x:c r="F192" t="n">
        <x:f>--AND(A192&gt;='Calculator'!$B$5,B192&gt;='Calculator'!$B$5,C192&gt;='Calculator'!$B$5)</x:f>
        <x:v>1</x:v>
      </x:c>
      <x:c r="G192" t="n">
        <x:f>--AND(A192+'Calculator'!$B$6&gt;=15,B192+'Calculator'!$B$6&gt;=15,C192+'Calculator'!$B$6&gt;=15)</x:f>
        <x:v>0</x:v>
      </x:c>
      <x:c r="H192" t="n">
        <x:f>--AND(F192=1,D192='Calculator'!$B$4)</x:f>
        <x:v>0</x:v>
      </x:c>
      <x:c r="I192" t="n">
        <x:f>--AND(H192=1,G192=1)</x:f>
        <x:v>0</x:v>
      </x:c>
      <x:c r="J192" t="n">
        <x:f>--AND(F192=1,E192='Calculator'!$B$4)</x:f>
        <x:v>0</x:v>
      </x:c>
      <x:c r="K192" t="n">
        <x:f>--AND(J192=1,G192=1)</x:f>
        <x:v>0</x:v>
      </x:c>
      <x:c r="L192" t="str">
        <x:f>A192&amp;"/"&amp;B192&amp;"/"&amp;C192</x:f>
        <x:v>7/15/6</x:v>
      </x:c>
      <x:c r="M192" t="str">
        <x:f>MIN(15,A192+'Calculator'!$B$6)&amp;"/"&amp;MIN(15,B192+'Calculator'!$B$6)&amp;"/"&amp;MIN(15,C192+'Calculator'!$B$6)</x:f>
        <x:v>9/15/8</x:v>
      </x:c>
    </x:row>
    <x:row r="193">
      <x:c r="A193" t="n">
        <x:v>7</x:v>
      </x:c>
      <x:c r="B193" t="n">
        <x:v>15</x:v>
      </x:c>
      <x:c r="C193" t="n">
        <x:v>7</x:v>
      </x:c>
      <x:c r="D193" t="n">
        <x:f>MAX(10,ROUNDDOWN((('Calculator'!$B$10+A193)*SQRT('Calculator'!$B$11+B193)*SQRT('Calculator'!$B$12+C193)*0.59740001^2)/10,0))</x:f>
        <x:v>2286</x:v>
      </x:c>
      <x:c r="E193" t="n">
        <x:f>MAX(10,ROUNDDOWN((('Calculator'!$B$10+A193)*SQRT('Calculator'!$B$11+B193)*SQRT('Calculator'!$B$12+C193)*0.667934^2)/10,0))</x:f>
        <x:v>2857</x:v>
      </x:c>
      <x:c r="F193" t="n">
        <x:f>--AND(A193&gt;='Calculator'!$B$5,B193&gt;='Calculator'!$B$5,C193&gt;='Calculator'!$B$5)</x:f>
        <x:v>1</x:v>
      </x:c>
      <x:c r="G193" t="n">
        <x:f>--AND(A193+'Calculator'!$B$6&gt;=15,B193+'Calculator'!$B$6&gt;=15,C193+'Calculator'!$B$6&gt;=15)</x:f>
        <x:v>0</x:v>
      </x:c>
      <x:c r="H193" t="n">
        <x:f>--AND(F193=1,D193='Calculator'!$B$4)</x:f>
        <x:v>0</x:v>
      </x:c>
      <x:c r="I193" t="n">
        <x:f>--AND(H193=1,G193=1)</x:f>
        <x:v>0</x:v>
      </x:c>
      <x:c r="J193" t="n">
        <x:f>--AND(F193=1,E193='Calculator'!$B$4)</x:f>
        <x:v>0</x:v>
      </x:c>
      <x:c r="K193" t="n">
        <x:f>--AND(J193=1,G193=1)</x:f>
        <x:v>0</x:v>
      </x:c>
      <x:c r="L193" t="str">
        <x:f>A193&amp;"/"&amp;B193&amp;"/"&amp;C193</x:f>
        <x:v>7/15/7</x:v>
      </x:c>
      <x:c r="M193" t="str">
        <x:f>MIN(15,A193+'Calculator'!$B$6)&amp;"/"&amp;MIN(15,B193+'Calculator'!$B$6)&amp;"/"&amp;MIN(15,C193+'Calculator'!$B$6)</x:f>
        <x:v>9/15/9</x:v>
      </x:c>
    </x:row>
    <x:row r="194">
      <x:c r="A194" t="n">
        <x:v>7</x:v>
      </x:c>
      <x:c r="B194" t="n">
        <x:v>15</x:v>
      </x:c>
      <x:c r="C194" t="n">
        <x:v>8</x:v>
      </x:c>
      <x:c r="D194" t="n">
        <x:f>MAX(10,ROUNDDOWN((('Calculator'!$B$10+A194)*SQRT('Calculator'!$B$11+B194)*SQRT('Calculator'!$B$12+C194)*0.59740001^2)/10,0))</x:f>
        <x:v>2291</x:v>
      </x:c>
      <x:c r="E194" t="n">
        <x:f>MAX(10,ROUNDDOWN((('Calculator'!$B$10+A194)*SQRT('Calculator'!$B$11+B194)*SQRT('Calculator'!$B$12+C194)*0.667934^2)/10,0))</x:f>
        <x:v>2864</x:v>
      </x:c>
      <x:c r="F194" t="n">
        <x:f>--AND(A194&gt;='Calculator'!$B$5,B194&gt;='Calculator'!$B$5,C194&gt;='Calculator'!$B$5)</x:f>
        <x:v>1</x:v>
      </x:c>
      <x:c r="G194" t="n">
        <x:f>--AND(A194+'Calculator'!$B$6&gt;=15,B194+'Calculator'!$B$6&gt;=15,C194+'Calculator'!$B$6&gt;=15)</x:f>
        <x:v>0</x:v>
      </x:c>
      <x:c r="H194" t="n">
        <x:f>--AND(F194=1,D194='Calculator'!$B$4)</x:f>
        <x:v>0</x:v>
      </x:c>
      <x:c r="I194" t="n">
        <x:f>--AND(H194=1,G194=1)</x:f>
        <x:v>0</x:v>
      </x:c>
      <x:c r="J194" t="n">
        <x:f>--AND(F194=1,E194='Calculator'!$B$4)</x:f>
        <x:v>0</x:v>
      </x:c>
      <x:c r="K194" t="n">
        <x:f>--AND(J194=1,G194=1)</x:f>
        <x:v>0</x:v>
      </x:c>
      <x:c r="L194" t="str">
        <x:f>A194&amp;"/"&amp;B194&amp;"/"&amp;C194</x:f>
        <x:v>7/15/8</x:v>
      </x:c>
      <x:c r="M194" t="str">
        <x:f>MIN(15,A194+'Calculator'!$B$6)&amp;"/"&amp;MIN(15,B194+'Calculator'!$B$6)&amp;"/"&amp;MIN(15,C194+'Calculator'!$B$6)</x:f>
        <x:v>9/15/10</x:v>
      </x:c>
    </x:row>
    <x:row r="195">
      <x:c r="A195" t="n">
        <x:v>7</x:v>
      </x:c>
      <x:c r="B195" t="n">
        <x:v>15</x:v>
      </x:c>
      <x:c r="C195" t="n">
        <x:v>9</x:v>
      </x:c>
      <x:c r="D195" t="n">
        <x:f>MAX(10,ROUNDDOWN((('Calculator'!$B$10+A195)*SQRT('Calculator'!$B$11+B195)*SQRT('Calculator'!$B$12+C195)*0.59740001^2)/10,0))</x:f>
        <x:v>2296</x:v>
      </x:c>
      <x:c r="E195" t="n">
        <x:f>MAX(10,ROUNDDOWN((('Calculator'!$B$10+A195)*SQRT('Calculator'!$B$11+B195)*SQRT('Calculator'!$B$12+C195)*0.667934^2)/10,0))</x:f>
        <x:v>2870</x:v>
      </x:c>
      <x:c r="F195" t="n">
        <x:f>--AND(A195&gt;='Calculator'!$B$5,B195&gt;='Calculator'!$B$5,C195&gt;='Calculator'!$B$5)</x:f>
        <x:v>1</x:v>
      </x:c>
      <x:c r="G195" t="n">
        <x:f>--AND(A195+'Calculator'!$B$6&gt;=15,B195+'Calculator'!$B$6&gt;=15,C195+'Calculator'!$B$6&gt;=15)</x:f>
        <x:v>0</x:v>
      </x:c>
      <x:c r="H195" t="n">
        <x:f>--AND(F195=1,D195='Calculator'!$B$4)</x:f>
        <x:v>0</x:v>
      </x:c>
      <x:c r="I195" t="n">
        <x:f>--AND(H195=1,G195=1)</x:f>
        <x:v>0</x:v>
      </x:c>
      <x:c r="J195" t="n">
        <x:f>--AND(F195=1,E195='Calculator'!$B$4)</x:f>
        <x:v>0</x:v>
      </x:c>
      <x:c r="K195" t="n">
        <x:f>--AND(J195=1,G195=1)</x:f>
        <x:v>0</x:v>
      </x:c>
      <x:c r="L195" t="str">
        <x:f>A195&amp;"/"&amp;B195&amp;"/"&amp;C195</x:f>
        <x:v>7/15/9</x:v>
      </x:c>
      <x:c r="M195" t="str">
        <x:f>MIN(15,A195+'Calculator'!$B$6)&amp;"/"&amp;MIN(15,B195+'Calculator'!$B$6)&amp;"/"&amp;MIN(15,C195+'Calculator'!$B$6)</x:f>
        <x:v>9/15/11</x:v>
      </x:c>
    </x:row>
    <x:row r="196">
      <x:c r="A196" t="n">
        <x:v>7</x:v>
      </x:c>
      <x:c r="B196" t="n">
        <x:v>15</x:v>
      </x:c>
      <x:c r="C196" t="n">
        <x:v>10</x:v>
      </x:c>
      <x:c r="D196" t="n">
        <x:f>MAX(10,ROUNDDOWN((('Calculator'!$B$10+A196)*SQRT('Calculator'!$B$11+B196)*SQRT('Calculator'!$B$12+C196)*0.59740001^2)/10,0))</x:f>
        <x:v>2301</x:v>
      </x:c>
      <x:c r="E196" t="n">
        <x:f>MAX(10,ROUNDDOWN((('Calculator'!$B$10+A196)*SQRT('Calculator'!$B$11+B196)*SQRT('Calculator'!$B$12+C196)*0.667934^2)/10,0))</x:f>
        <x:v>2877</x:v>
      </x:c>
      <x:c r="F196" t="n">
        <x:f>--AND(A196&gt;='Calculator'!$B$5,B196&gt;='Calculator'!$B$5,C196&gt;='Calculator'!$B$5)</x:f>
        <x:v>1</x:v>
      </x:c>
      <x:c r="G196" t="n">
        <x:f>--AND(A196+'Calculator'!$B$6&gt;=15,B196+'Calculator'!$B$6&gt;=15,C196+'Calculator'!$B$6&gt;=15)</x:f>
        <x:v>0</x:v>
      </x:c>
      <x:c r="H196" t="n">
        <x:f>--AND(F196=1,D196='Calculator'!$B$4)</x:f>
        <x:v>0</x:v>
      </x:c>
      <x:c r="I196" t="n">
        <x:f>--AND(H196=1,G196=1)</x:f>
        <x:v>0</x:v>
      </x:c>
      <x:c r="J196" t="n">
        <x:f>--AND(F196=1,E196='Calculator'!$B$4)</x:f>
        <x:v>0</x:v>
      </x:c>
      <x:c r="K196" t="n">
        <x:f>--AND(J196=1,G196=1)</x:f>
        <x:v>0</x:v>
      </x:c>
      <x:c r="L196" t="str">
        <x:f>A196&amp;"/"&amp;B196&amp;"/"&amp;C196</x:f>
        <x:v>7/15/10</x:v>
      </x:c>
      <x:c r="M196" t="str">
        <x:f>MIN(15,A196+'Calculator'!$B$6)&amp;"/"&amp;MIN(15,B196+'Calculator'!$B$6)&amp;"/"&amp;MIN(15,C196+'Calculator'!$B$6)</x:f>
        <x:v>9/15/12</x:v>
      </x:c>
    </x:row>
    <x:row r="197">
      <x:c r="A197" t="n">
        <x:v>7</x:v>
      </x:c>
      <x:c r="B197" t="n">
        <x:v>15</x:v>
      </x:c>
      <x:c r="C197" t="n">
        <x:v>11</x:v>
      </x:c>
      <x:c r="D197" t="n">
        <x:f>MAX(10,ROUNDDOWN((('Calculator'!$B$10+A197)*SQRT('Calculator'!$B$11+B197)*SQRT('Calculator'!$B$12+C197)*0.59740001^2)/10,0))</x:f>
        <x:v>2306</x:v>
      </x:c>
      <x:c r="E197" t="n">
        <x:f>MAX(10,ROUNDDOWN((('Calculator'!$B$10+A197)*SQRT('Calculator'!$B$11+B197)*SQRT('Calculator'!$B$12+C197)*0.667934^2)/10,0))</x:f>
        <x:v>2883</x:v>
      </x:c>
      <x:c r="F197" t="n">
        <x:f>--AND(A197&gt;='Calculator'!$B$5,B197&gt;='Calculator'!$B$5,C197&gt;='Calculator'!$B$5)</x:f>
        <x:v>1</x:v>
      </x:c>
      <x:c r="G197" t="n">
        <x:f>--AND(A197+'Calculator'!$B$6&gt;=15,B197+'Calculator'!$B$6&gt;=15,C197+'Calculator'!$B$6&gt;=15)</x:f>
        <x:v>0</x:v>
      </x:c>
      <x:c r="H197" t="n">
        <x:f>--AND(F197=1,D197='Calculator'!$B$4)</x:f>
        <x:v>0</x:v>
      </x:c>
      <x:c r="I197" t="n">
        <x:f>--AND(H197=1,G197=1)</x:f>
        <x:v>0</x:v>
      </x:c>
      <x:c r="J197" t="n">
        <x:f>--AND(F197=1,E197='Calculator'!$B$4)</x:f>
        <x:v>0</x:v>
      </x:c>
      <x:c r="K197" t="n">
        <x:f>--AND(J197=1,G197=1)</x:f>
        <x:v>0</x:v>
      </x:c>
      <x:c r="L197" t="str">
        <x:f>A197&amp;"/"&amp;B197&amp;"/"&amp;C197</x:f>
        <x:v>7/15/11</x:v>
      </x:c>
      <x:c r="M197" t="str">
        <x:f>MIN(15,A197+'Calculator'!$B$6)&amp;"/"&amp;MIN(15,B197+'Calculator'!$B$6)&amp;"/"&amp;MIN(15,C197+'Calculator'!$B$6)</x:f>
        <x:v>9/15/13</x:v>
      </x:c>
    </x:row>
    <x:row r="198">
      <x:c r="A198" t="n">
        <x:v>7</x:v>
      </x:c>
      <x:c r="B198" t="n">
        <x:v>15</x:v>
      </x:c>
      <x:c r="C198" t="n">
        <x:v>12</x:v>
      </x:c>
      <x:c r="D198" t="n">
        <x:f>MAX(10,ROUNDDOWN((('Calculator'!$B$10+A198)*SQRT('Calculator'!$B$11+B198)*SQRT('Calculator'!$B$12+C198)*0.59740001^2)/10,0))</x:f>
        <x:v>2311</x:v>
      </x:c>
      <x:c r="E198" t="n">
        <x:f>MAX(10,ROUNDDOWN((('Calculator'!$B$10+A198)*SQRT('Calculator'!$B$11+B198)*SQRT('Calculator'!$B$12+C198)*0.667934^2)/10,0))</x:f>
        <x:v>2889</x:v>
      </x:c>
      <x:c r="F198" t="n">
        <x:f>--AND(A198&gt;='Calculator'!$B$5,B198&gt;='Calculator'!$B$5,C198&gt;='Calculator'!$B$5)</x:f>
        <x:v>1</x:v>
      </x:c>
      <x:c r="G198" t="n">
        <x:f>--AND(A198+'Calculator'!$B$6&gt;=15,B198+'Calculator'!$B$6&gt;=15,C198+'Calculator'!$B$6&gt;=15)</x:f>
        <x:v>0</x:v>
      </x:c>
      <x:c r="H198" t="n">
        <x:f>--AND(F198=1,D198='Calculator'!$B$4)</x:f>
        <x:v>0</x:v>
      </x:c>
      <x:c r="I198" t="n">
        <x:f>--AND(H198=1,G198=1)</x:f>
        <x:v>0</x:v>
      </x:c>
      <x:c r="J198" t="n">
        <x:f>--AND(F198=1,E198='Calculator'!$B$4)</x:f>
        <x:v>0</x:v>
      </x:c>
      <x:c r="K198" t="n">
        <x:f>--AND(J198=1,G198=1)</x:f>
        <x:v>0</x:v>
      </x:c>
      <x:c r="L198" t="str">
        <x:f>A198&amp;"/"&amp;B198&amp;"/"&amp;C198</x:f>
        <x:v>7/15/12</x:v>
      </x:c>
      <x:c r="M198" t="str">
        <x:f>MIN(15,A198+'Calculator'!$B$6)&amp;"/"&amp;MIN(15,B198+'Calculator'!$B$6)&amp;"/"&amp;MIN(15,C198+'Calculator'!$B$6)</x:f>
        <x:v>9/15/14</x:v>
      </x:c>
    </x:row>
    <x:row r="199">
      <x:c r="A199" t="n">
        <x:v>7</x:v>
      </x:c>
      <x:c r="B199" t="n">
        <x:v>15</x:v>
      </x:c>
      <x:c r="C199" t="n">
        <x:v>13</x:v>
      </x:c>
      <x:c r="D199" t="n">
        <x:f>MAX(10,ROUNDDOWN((('Calculator'!$B$10+A199)*SQRT('Calculator'!$B$11+B199)*SQRT('Calculator'!$B$12+C199)*0.59740001^2)/10,0))</x:f>
        <x:v>2316</x:v>
      </x:c>
      <x:c r="E199" t="n">
        <x:f>MAX(10,ROUNDDOWN((('Calculator'!$B$10+A199)*SQRT('Calculator'!$B$11+B199)*SQRT('Calculator'!$B$12+C199)*0.667934^2)/10,0))</x:f>
        <x:v>2896</x:v>
      </x:c>
      <x:c r="F199" t="n">
        <x:f>--AND(A199&gt;='Calculator'!$B$5,B199&gt;='Calculator'!$B$5,C199&gt;='Calculator'!$B$5)</x:f>
        <x:v>1</x:v>
      </x:c>
      <x:c r="G199" t="n">
        <x:f>--AND(A199+'Calculator'!$B$6&gt;=15,B199+'Calculator'!$B$6&gt;=15,C199+'Calculator'!$B$6&gt;=15)</x:f>
        <x:v>0</x:v>
      </x:c>
      <x:c r="H199" t="n">
        <x:f>--AND(F199=1,D199='Calculator'!$B$4)</x:f>
        <x:v>0</x:v>
      </x:c>
      <x:c r="I199" t="n">
        <x:f>--AND(H199=1,G199=1)</x:f>
        <x:v>0</x:v>
      </x:c>
      <x:c r="J199" t="n">
        <x:f>--AND(F199=1,E199='Calculator'!$B$4)</x:f>
        <x:v>0</x:v>
      </x:c>
      <x:c r="K199" t="n">
        <x:f>--AND(J199=1,G199=1)</x:f>
        <x:v>0</x:v>
      </x:c>
      <x:c r="L199" t="str">
        <x:f>A199&amp;"/"&amp;B199&amp;"/"&amp;C199</x:f>
        <x:v>7/15/13</x:v>
      </x:c>
      <x:c r="M199" t="str">
        <x:f>MIN(15,A199+'Calculator'!$B$6)&amp;"/"&amp;MIN(15,B199+'Calculator'!$B$6)&amp;"/"&amp;MIN(15,C199+'Calculator'!$B$6)</x:f>
        <x:v>9/15/15</x:v>
      </x:c>
    </x:row>
    <x:row r="200">
      <x:c r="A200" t="n">
        <x:v>7</x:v>
      </x:c>
      <x:c r="B200" t="n">
        <x:v>15</x:v>
      </x:c>
      <x:c r="C200" t="n">
        <x:v>14</x:v>
      </x:c>
      <x:c r="D200" t="n">
        <x:f>MAX(10,ROUNDDOWN((('Calculator'!$B$10+A200)*SQRT('Calculator'!$B$11+B200)*SQRT('Calculator'!$B$12+C200)*0.59740001^2)/10,0))</x:f>
        <x:v>2322</x:v>
      </x:c>
      <x:c r="E200" t="n">
        <x:f>MAX(10,ROUNDDOWN((('Calculator'!$B$10+A200)*SQRT('Calculator'!$B$11+B200)*SQRT('Calculator'!$B$12+C200)*0.667934^2)/10,0))</x:f>
        <x:v>2902</x:v>
      </x:c>
      <x:c r="F200" t="n">
        <x:f>--AND(A200&gt;='Calculator'!$B$5,B200&gt;='Calculator'!$B$5,C200&gt;='Calculator'!$B$5)</x:f>
        <x:v>1</x:v>
      </x:c>
      <x:c r="G200" t="n">
        <x:f>--AND(A200+'Calculator'!$B$6&gt;=15,B200+'Calculator'!$B$6&gt;=15,C200+'Calculator'!$B$6&gt;=15)</x:f>
        <x:v>0</x:v>
      </x:c>
      <x:c r="H200" t="n">
        <x:f>--AND(F200=1,D200='Calculator'!$B$4)</x:f>
        <x:v>0</x:v>
      </x:c>
      <x:c r="I200" t="n">
        <x:f>--AND(H200=1,G200=1)</x:f>
        <x:v>0</x:v>
      </x:c>
      <x:c r="J200" t="n">
        <x:f>--AND(F200=1,E200='Calculator'!$B$4)</x:f>
        <x:v>0</x:v>
      </x:c>
      <x:c r="K200" t="n">
        <x:f>--AND(J200=1,G200=1)</x:f>
        <x:v>0</x:v>
      </x:c>
      <x:c r="L200" t="str">
        <x:f>A200&amp;"/"&amp;B200&amp;"/"&amp;C200</x:f>
        <x:v>7/15/14</x:v>
      </x:c>
      <x:c r="M200" t="str">
        <x:f>MIN(15,A200+'Calculator'!$B$6)&amp;"/"&amp;MIN(15,B200+'Calculator'!$B$6)&amp;"/"&amp;MIN(15,C200+'Calculator'!$B$6)</x:f>
        <x:v>9/15/15</x:v>
      </x:c>
    </x:row>
    <x:row r="201">
      <x:c r="A201" t="n">
        <x:v>7</x:v>
      </x:c>
      <x:c r="B201" t="n">
        <x:v>15</x:v>
      </x:c>
      <x:c r="C201" t="n">
        <x:v>15</x:v>
      </x:c>
      <x:c r="D201" t="n">
        <x:f>MAX(10,ROUNDDOWN((('Calculator'!$B$10+A201)*SQRT('Calculator'!$B$11+B201)*SQRT('Calculator'!$B$12+C201)*0.59740001^2)/10,0))</x:f>
        <x:v>2327</x:v>
      </x:c>
      <x:c r="E201" t="n">
        <x:f>MAX(10,ROUNDDOWN((('Calculator'!$B$10+A201)*SQRT('Calculator'!$B$11+B201)*SQRT('Calculator'!$B$12+C201)*0.667934^2)/10,0))</x:f>
        <x:v>2909</x:v>
      </x:c>
      <x:c r="F201" t="n">
        <x:f>--AND(A201&gt;='Calculator'!$B$5,B201&gt;='Calculator'!$B$5,C201&gt;='Calculator'!$B$5)</x:f>
        <x:v>1</x:v>
      </x:c>
      <x:c r="G201" t="n">
        <x:f>--AND(A201+'Calculator'!$B$6&gt;=15,B201+'Calculator'!$B$6&gt;=15,C201+'Calculator'!$B$6&gt;=15)</x:f>
        <x:v>0</x:v>
      </x:c>
      <x:c r="H201" t="n">
        <x:f>--AND(F201=1,D201='Calculator'!$B$4)</x:f>
        <x:v>0</x:v>
      </x:c>
      <x:c r="I201" t="n">
        <x:f>--AND(H201=1,G201=1)</x:f>
        <x:v>0</x:v>
      </x:c>
      <x:c r="J201" t="n">
        <x:f>--AND(F201=1,E201='Calculator'!$B$4)</x:f>
        <x:v>0</x:v>
      </x:c>
      <x:c r="K201" t="n">
        <x:f>--AND(J201=1,G201=1)</x:f>
        <x:v>0</x:v>
      </x:c>
      <x:c r="L201" t="str">
        <x:f>A201&amp;"/"&amp;B201&amp;"/"&amp;C201</x:f>
        <x:v>7/15/15</x:v>
      </x:c>
      <x:c r="M201" t="str">
        <x:f>MIN(15,A201+'Calculator'!$B$6)&amp;"/"&amp;MIN(15,B201+'Calculator'!$B$6)&amp;"/"&amp;MIN(15,C201+'Calculator'!$B$6)</x:f>
        <x:v>9/15/15</x:v>
      </x:c>
    </x:row>
    <x:row r="202">
      <x:c r="A202" t="n">
        <x:v>8</x:v>
      </x:c>
      <x:c r="B202" t="n">
        <x:v>6</x:v>
      </x:c>
      <x:c r="C202" t="n">
        <x:v>6</x:v>
      </x:c>
      <x:c r="D202" t="n">
        <x:f>MAX(10,ROUNDDOWN((('Calculator'!$B$10+A202)*SQRT('Calculator'!$B$11+B202)*SQRT('Calculator'!$B$12+C202)*0.59740001^2)/10,0))</x:f>
        <x:v>2235</x:v>
      </x:c>
      <x:c r="E202" t="n">
        <x:f>MAX(10,ROUNDDOWN((('Calculator'!$B$10+A202)*SQRT('Calculator'!$B$11+B202)*SQRT('Calculator'!$B$12+C202)*0.667934^2)/10,0))</x:f>
        <x:v>2794</x:v>
      </x:c>
      <x:c r="F202" t="n">
        <x:f>--AND(A202&gt;='Calculator'!$B$5,B202&gt;='Calculator'!$B$5,C202&gt;='Calculator'!$B$5)</x:f>
        <x:v>1</x:v>
      </x:c>
      <x:c r="G202" t="n">
        <x:f>--AND(A202+'Calculator'!$B$6&gt;=15,B202+'Calculator'!$B$6&gt;=15,C202+'Calculator'!$B$6&gt;=15)</x:f>
        <x:v>0</x:v>
      </x:c>
      <x:c r="H202" t="n">
        <x:f>--AND(F202=1,D202='Calculator'!$B$4)</x:f>
        <x:v>0</x:v>
      </x:c>
      <x:c r="I202" t="n">
        <x:f>--AND(H202=1,G202=1)</x:f>
        <x:v>0</x:v>
      </x:c>
      <x:c r="J202" t="n">
        <x:f>--AND(F202=1,E202='Calculator'!$B$4)</x:f>
        <x:v>0</x:v>
      </x:c>
      <x:c r="K202" t="n">
        <x:f>--AND(J202=1,G202=1)</x:f>
        <x:v>0</x:v>
      </x:c>
      <x:c r="L202" t="str">
        <x:f>A202&amp;"/"&amp;B202&amp;"/"&amp;C202</x:f>
        <x:v>8/6/6</x:v>
      </x:c>
      <x:c r="M202" t="str">
        <x:f>MIN(15,A202+'Calculator'!$B$6)&amp;"/"&amp;MIN(15,B202+'Calculator'!$B$6)&amp;"/"&amp;MIN(15,C202+'Calculator'!$B$6)</x:f>
        <x:v>10/8/8</x:v>
      </x:c>
    </x:row>
    <x:row r="203">
      <x:c r="A203" t="n">
        <x:v>8</x:v>
      </x:c>
      <x:c r="B203" t="n">
        <x:v>6</x:v>
      </x:c>
      <x:c r="C203" t="n">
        <x:v>7</x:v>
      </x:c>
      <x:c r="D203" t="n">
        <x:f>MAX(10,ROUNDDOWN((('Calculator'!$B$10+A203)*SQRT('Calculator'!$B$11+B203)*SQRT('Calculator'!$B$12+C203)*0.59740001^2)/10,0))</x:f>
        <x:v>2240</x:v>
      </x:c>
      <x:c r="E203" t="n">
        <x:f>MAX(10,ROUNDDOWN((('Calculator'!$B$10+A203)*SQRT('Calculator'!$B$11+B203)*SQRT('Calculator'!$B$12+C203)*0.667934^2)/10,0))</x:f>
        <x:v>2800</x:v>
      </x:c>
      <x:c r="F203" t="n">
        <x:f>--AND(A203&gt;='Calculator'!$B$5,B203&gt;='Calculator'!$B$5,C203&gt;='Calculator'!$B$5)</x:f>
        <x:v>1</x:v>
      </x:c>
      <x:c r="G203" t="n">
        <x:f>--AND(A203+'Calculator'!$B$6&gt;=15,B203+'Calculator'!$B$6&gt;=15,C203+'Calculator'!$B$6&gt;=15)</x:f>
        <x:v>0</x:v>
      </x:c>
      <x:c r="H203" t="n">
        <x:f>--AND(F203=1,D203='Calculator'!$B$4)</x:f>
        <x:v>0</x:v>
      </x:c>
      <x:c r="I203" t="n">
        <x:f>--AND(H203=1,G203=1)</x:f>
        <x:v>0</x:v>
      </x:c>
      <x:c r="J203" t="n">
        <x:f>--AND(F203=1,E203='Calculator'!$B$4)</x:f>
        <x:v>0</x:v>
      </x:c>
      <x:c r="K203" t="n">
        <x:f>--AND(J203=1,G203=1)</x:f>
        <x:v>0</x:v>
      </x:c>
      <x:c r="L203" t="str">
        <x:f>A203&amp;"/"&amp;B203&amp;"/"&amp;C203</x:f>
        <x:v>8/6/7</x:v>
      </x:c>
      <x:c r="M203" t="str">
        <x:f>MIN(15,A203+'Calculator'!$B$6)&amp;"/"&amp;MIN(15,B203+'Calculator'!$B$6)&amp;"/"&amp;MIN(15,C203+'Calculator'!$B$6)</x:f>
        <x:v>10/8/9</x:v>
      </x:c>
    </x:row>
    <x:row r="204">
      <x:c r="A204" t="n">
        <x:v>8</x:v>
      </x:c>
      <x:c r="B204" t="n">
        <x:v>6</x:v>
      </x:c>
      <x:c r="C204" t="n">
        <x:v>8</x:v>
      </x:c>
      <x:c r="D204" t="n">
        <x:f>MAX(10,ROUNDDOWN((('Calculator'!$B$10+A204)*SQRT('Calculator'!$B$11+B204)*SQRT('Calculator'!$B$12+C204)*0.59740001^2)/10,0))</x:f>
        <x:v>2245</x:v>
      </x:c>
      <x:c r="E204" t="n">
        <x:f>MAX(10,ROUNDDOWN((('Calculator'!$B$10+A204)*SQRT('Calculator'!$B$11+B204)*SQRT('Calculator'!$B$12+C204)*0.667934^2)/10,0))</x:f>
        <x:v>2807</x:v>
      </x:c>
      <x:c r="F204" t="n">
        <x:f>--AND(A204&gt;='Calculator'!$B$5,B204&gt;='Calculator'!$B$5,C204&gt;='Calculator'!$B$5)</x:f>
        <x:v>1</x:v>
      </x:c>
      <x:c r="G204" t="n">
        <x:f>--AND(A204+'Calculator'!$B$6&gt;=15,B204+'Calculator'!$B$6&gt;=15,C204+'Calculator'!$B$6&gt;=15)</x:f>
        <x:v>0</x:v>
      </x:c>
      <x:c r="H204" t="n">
        <x:f>--AND(F204=1,D204='Calculator'!$B$4)</x:f>
        <x:v>0</x:v>
      </x:c>
      <x:c r="I204" t="n">
        <x:f>--AND(H204=1,G204=1)</x:f>
        <x:v>0</x:v>
      </x:c>
      <x:c r="J204" t="n">
        <x:f>--AND(F204=1,E204='Calculator'!$B$4)</x:f>
        <x:v>0</x:v>
      </x:c>
      <x:c r="K204" t="n">
        <x:f>--AND(J204=1,G204=1)</x:f>
        <x:v>0</x:v>
      </x:c>
      <x:c r="L204" t="str">
        <x:f>A204&amp;"/"&amp;B204&amp;"/"&amp;C204</x:f>
        <x:v>8/6/8</x:v>
      </x:c>
      <x:c r="M204" t="str">
        <x:f>MIN(15,A204+'Calculator'!$B$6)&amp;"/"&amp;MIN(15,B204+'Calculator'!$B$6)&amp;"/"&amp;MIN(15,C204+'Calculator'!$B$6)</x:f>
        <x:v>10/8/10</x:v>
      </x:c>
    </x:row>
    <x:row r="205">
      <x:c r="A205" t="n">
        <x:v>8</x:v>
      </x:c>
      <x:c r="B205" t="n">
        <x:v>6</x:v>
      </x:c>
      <x:c r="C205" t="n">
        <x:v>9</x:v>
      </x:c>
      <x:c r="D205" t="n">
        <x:f>MAX(10,ROUNDDOWN((('Calculator'!$B$10+A205)*SQRT('Calculator'!$B$11+B205)*SQRT('Calculator'!$B$12+C205)*0.59740001^2)/10,0))</x:f>
        <x:v>2250</x:v>
      </x:c>
      <x:c r="E205" t="n">
        <x:f>MAX(10,ROUNDDOWN((('Calculator'!$B$10+A205)*SQRT('Calculator'!$B$11+B205)*SQRT('Calculator'!$B$12+C205)*0.667934^2)/10,0))</x:f>
        <x:v>2813</x:v>
      </x:c>
      <x:c r="F205" t="n">
        <x:f>--AND(A205&gt;='Calculator'!$B$5,B205&gt;='Calculator'!$B$5,C205&gt;='Calculator'!$B$5)</x:f>
        <x:v>1</x:v>
      </x:c>
      <x:c r="G205" t="n">
        <x:f>--AND(A205+'Calculator'!$B$6&gt;=15,B205+'Calculator'!$B$6&gt;=15,C205+'Calculator'!$B$6&gt;=15)</x:f>
        <x:v>0</x:v>
      </x:c>
      <x:c r="H205" t="n">
        <x:f>--AND(F205=1,D205='Calculator'!$B$4)</x:f>
        <x:v>0</x:v>
      </x:c>
      <x:c r="I205" t="n">
        <x:f>--AND(H205=1,G205=1)</x:f>
        <x:v>0</x:v>
      </x:c>
      <x:c r="J205" t="n">
        <x:f>--AND(F205=1,E205='Calculator'!$B$4)</x:f>
        <x:v>0</x:v>
      </x:c>
      <x:c r="K205" t="n">
        <x:f>--AND(J205=1,G205=1)</x:f>
        <x:v>0</x:v>
      </x:c>
      <x:c r="L205" t="str">
        <x:f>A205&amp;"/"&amp;B205&amp;"/"&amp;C205</x:f>
        <x:v>8/6/9</x:v>
      </x:c>
      <x:c r="M205" t="str">
        <x:f>MIN(15,A205+'Calculator'!$B$6)&amp;"/"&amp;MIN(15,B205+'Calculator'!$B$6)&amp;"/"&amp;MIN(15,C205+'Calculator'!$B$6)</x:f>
        <x:v>10/8/11</x:v>
      </x:c>
    </x:row>
    <x:row r="206">
      <x:c r="A206" t="n">
        <x:v>8</x:v>
      </x:c>
      <x:c r="B206" t="n">
        <x:v>6</x:v>
      </x:c>
      <x:c r="C206" t="n">
        <x:v>10</x:v>
      </x:c>
      <x:c r="D206" t="n">
        <x:f>MAX(10,ROUNDDOWN((('Calculator'!$B$10+A206)*SQRT('Calculator'!$B$11+B206)*SQRT('Calculator'!$B$12+C206)*0.59740001^2)/10,0))</x:f>
        <x:v>2255</x:v>
      </x:c>
      <x:c r="E206" t="n">
        <x:f>MAX(10,ROUNDDOWN((('Calculator'!$B$10+A206)*SQRT('Calculator'!$B$11+B206)*SQRT('Calculator'!$B$12+C206)*0.667934^2)/10,0))</x:f>
        <x:v>2819</x:v>
      </x:c>
      <x:c r="F206" t="n">
        <x:f>--AND(A206&gt;='Calculator'!$B$5,B206&gt;='Calculator'!$B$5,C206&gt;='Calculator'!$B$5)</x:f>
        <x:v>1</x:v>
      </x:c>
      <x:c r="G206" t="n">
        <x:f>--AND(A206+'Calculator'!$B$6&gt;=15,B206+'Calculator'!$B$6&gt;=15,C206+'Calculator'!$B$6&gt;=15)</x:f>
        <x:v>0</x:v>
      </x:c>
      <x:c r="H206" t="n">
        <x:f>--AND(F206=1,D206='Calculator'!$B$4)</x:f>
        <x:v>0</x:v>
      </x:c>
      <x:c r="I206" t="n">
        <x:f>--AND(H206=1,G206=1)</x:f>
        <x:v>0</x:v>
      </x:c>
      <x:c r="J206" t="n">
        <x:f>--AND(F206=1,E206='Calculator'!$B$4)</x:f>
        <x:v>0</x:v>
      </x:c>
      <x:c r="K206" t="n">
        <x:f>--AND(J206=1,G206=1)</x:f>
        <x:v>0</x:v>
      </x:c>
      <x:c r="L206" t="str">
        <x:f>A206&amp;"/"&amp;B206&amp;"/"&amp;C206</x:f>
        <x:v>8/6/10</x:v>
      </x:c>
      <x:c r="M206" t="str">
        <x:f>MIN(15,A206+'Calculator'!$B$6)&amp;"/"&amp;MIN(15,B206+'Calculator'!$B$6)&amp;"/"&amp;MIN(15,C206+'Calculator'!$B$6)</x:f>
        <x:v>10/8/12</x:v>
      </x:c>
    </x:row>
    <x:row r="207">
      <x:c r="A207" t="n">
        <x:v>8</x:v>
      </x:c>
      <x:c r="B207" t="n">
        <x:v>6</x:v>
      </x:c>
      <x:c r="C207" t="n">
        <x:v>11</x:v>
      </x:c>
      <x:c r="D207" t="n">
        <x:f>MAX(10,ROUNDDOWN((('Calculator'!$B$10+A207)*SQRT('Calculator'!$B$11+B207)*SQRT('Calculator'!$B$12+C207)*0.59740001^2)/10,0))</x:f>
        <x:v>2260</x:v>
      </x:c>
      <x:c r="E207" t="n">
        <x:f>MAX(10,ROUNDDOWN((('Calculator'!$B$10+A207)*SQRT('Calculator'!$B$11+B207)*SQRT('Calculator'!$B$12+C207)*0.667934^2)/10,0))</x:f>
        <x:v>2826</x:v>
      </x:c>
      <x:c r="F207" t="n">
        <x:f>--AND(A207&gt;='Calculator'!$B$5,B207&gt;='Calculator'!$B$5,C207&gt;='Calculator'!$B$5)</x:f>
        <x:v>1</x:v>
      </x:c>
      <x:c r="G207" t="n">
        <x:f>--AND(A207+'Calculator'!$B$6&gt;=15,B207+'Calculator'!$B$6&gt;=15,C207+'Calculator'!$B$6&gt;=15)</x:f>
        <x:v>0</x:v>
      </x:c>
      <x:c r="H207" t="n">
        <x:f>--AND(F207=1,D207='Calculator'!$B$4)</x:f>
        <x:v>0</x:v>
      </x:c>
      <x:c r="I207" t="n">
        <x:f>--AND(H207=1,G207=1)</x:f>
        <x:v>0</x:v>
      </x:c>
      <x:c r="J207" t="n">
        <x:f>--AND(F207=1,E207='Calculator'!$B$4)</x:f>
        <x:v>0</x:v>
      </x:c>
      <x:c r="K207" t="n">
        <x:f>--AND(J207=1,G207=1)</x:f>
        <x:v>0</x:v>
      </x:c>
      <x:c r="L207" t="str">
        <x:f>A207&amp;"/"&amp;B207&amp;"/"&amp;C207</x:f>
        <x:v>8/6/11</x:v>
      </x:c>
      <x:c r="M207" t="str">
        <x:f>MIN(15,A207+'Calculator'!$B$6)&amp;"/"&amp;MIN(15,B207+'Calculator'!$B$6)&amp;"/"&amp;MIN(15,C207+'Calculator'!$B$6)</x:f>
        <x:v>10/8/13</x:v>
      </x:c>
    </x:row>
    <x:row r="208">
      <x:c r="A208" t="n">
        <x:v>8</x:v>
      </x:c>
      <x:c r="B208" t="n">
        <x:v>6</x:v>
      </x:c>
      <x:c r="C208" t="n">
        <x:v>12</x:v>
      </x:c>
      <x:c r="D208" t="n">
        <x:f>MAX(10,ROUNDDOWN((('Calculator'!$B$10+A208)*SQRT('Calculator'!$B$11+B208)*SQRT('Calculator'!$B$12+C208)*0.59740001^2)/10,0))</x:f>
        <x:v>2265</x:v>
      </x:c>
      <x:c r="E208" t="n">
        <x:f>MAX(10,ROUNDDOWN((('Calculator'!$B$10+A208)*SQRT('Calculator'!$B$11+B208)*SQRT('Calculator'!$B$12+C208)*0.667934^2)/10,0))</x:f>
        <x:v>2832</x:v>
      </x:c>
      <x:c r="F208" t="n">
        <x:f>--AND(A208&gt;='Calculator'!$B$5,B208&gt;='Calculator'!$B$5,C208&gt;='Calculator'!$B$5)</x:f>
        <x:v>1</x:v>
      </x:c>
      <x:c r="G208" t="n">
        <x:f>--AND(A208+'Calculator'!$B$6&gt;=15,B208+'Calculator'!$B$6&gt;=15,C208+'Calculator'!$B$6&gt;=15)</x:f>
        <x:v>0</x:v>
      </x:c>
      <x:c r="H208" t="n">
        <x:f>--AND(F208=1,D208='Calculator'!$B$4)</x:f>
        <x:v>0</x:v>
      </x:c>
      <x:c r="I208" t="n">
        <x:f>--AND(H208=1,G208=1)</x:f>
        <x:v>0</x:v>
      </x:c>
      <x:c r="J208" t="n">
        <x:f>--AND(F208=1,E208='Calculator'!$B$4)</x:f>
        <x:v>0</x:v>
      </x:c>
      <x:c r="K208" t="n">
        <x:f>--AND(J208=1,G208=1)</x:f>
        <x:v>0</x:v>
      </x:c>
      <x:c r="L208" t="str">
        <x:f>A208&amp;"/"&amp;B208&amp;"/"&amp;C208</x:f>
        <x:v>8/6/12</x:v>
      </x:c>
      <x:c r="M208" t="str">
        <x:f>MIN(15,A208+'Calculator'!$B$6)&amp;"/"&amp;MIN(15,B208+'Calculator'!$B$6)&amp;"/"&amp;MIN(15,C208+'Calculator'!$B$6)</x:f>
        <x:v>10/8/14</x:v>
      </x:c>
    </x:row>
    <x:row r="209">
      <x:c r="A209" t="n">
        <x:v>8</x:v>
      </x:c>
      <x:c r="B209" t="n">
        <x:v>6</x:v>
      </x:c>
      <x:c r="C209" t="n">
        <x:v>13</x:v>
      </x:c>
      <x:c r="D209" t="n">
        <x:f>MAX(10,ROUNDDOWN((('Calculator'!$B$10+A209)*SQRT('Calculator'!$B$11+B209)*SQRT('Calculator'!$B$12+C209)*0.59740001^2)/10,0))</x:f>
        <x:v>2270</x:v>
      </x:c>
      <x:c r="E209" t="n">
        <x:f>MAX(10,ROUNDDOWN((('Calculator'!$B$10+A209)*SQRT('Calculator'!$B$11+B209)*SQRT('Calculator'!$B$12+C209)*0.667934^2)/10,0))</x:f>
        <x:v>2838</x:v>
      </x:c>
      <x:c r="F209" t="n">
        <x:f>--AND(A209&gt;='Calculator'!$B$5,B209&gt;='Calculator'!$B$5,C209&gt;='Calculator'!$B$5)</x:f>
        <x:v>1</x:v>
      </x:c>
      <x:c r="G209" t="n">
        <x:f>--AND(A209+'Calculator'!$B$6&gt;=15,B209+'Calculator'!$B$6&gt;=15,C209+'Calculator'!$B$6&gt;=15)</x:f>
        <x:v>0</x:v>
      </x:c>
      <x:c r="H209" t="n">
        <x:f>--AND(F209=1,D209='Calculator'!$B$4)</x:f>
        <x:v>0</x:v>
      </x:c>
      <x:c r="I209" t="n">
        <x:f>--AND(H209=1,G209=1)</x:f>
        <x:v>0</x:v>
      </x:c>
      <x:c r="J209" t="n">
        <x:f>--AND(F209=1,E209='Calculator'!$B$4)</x:f>
        <x:v>0</x:v>
      </x:c>
      <x:c r="K209" t="n">
        <x:f>--AND(J209=1,G209=1)</x:f>
        <x:v>0</x:v>
      </x:c>
      <x:c r="L209" t="str">
        <x:f>A209&amp;"/"&amp;B209&amp;"/"&amp;C209</x:f>
        <x:v>8/6/13</x:v>
      </x:c>
      <x:c r="M209" t="str">
        <x:f>MIN(15,A209+'Calculator'!$B$6)&amp;"/"&amp;MIN(15,B209+'Calculator'!$B$6)&amp;"/"&amp;MIN(15,C209+'Calculator'!$B$6)</x:f>
        <x:v>10/8/15</x:v>
      </x:c>
    </x:row>
    <x:row r="210">
      <x:c r="A210" t="n">
        <x:v>8</x:v>
      </x:c>
      <x:c r="B210" t="n">
        <x:v>6</x:v>
      </x:c>
      <x:c r="C210" t="n">
        <x:v>14</x:v>
      </x:c>
      <x:c r="D210" t="n">
        <x:f>MAX(10,ROUNDDOWN((('Calculator'!$B$10+A210)*SQRT('Calculator'!$B$11+B210)*SQRT('Calculator'!$B$12+C210)*0.59740001^2)/10,0))</x:f>
        <x:v>2275</x:v>
      </x:c>
      <x:c r="E210" t="n">
        <x:f>MAX(10,ROUNDDOWN((('Calculator'!$B$10+A210)*SQRT('Calculator'!$B$11+B210)*SQRT('Calculator'!$B$12+C210)*0.667934^2)/10,0))</x:f>
        <x:v>2844</x:v>
      </x:c>
      <x:c r="F210" t="n">
        <x:f>--AND(A210&gt;='Calculator'!$B$5,B210&gt;='Calculator'!$B$5,C210&gt;='Calculator'!$B$5)</x:f>
        <x:v>1</x:v>
      </x:c>
      <x:c r="G210" t="n">
        <x:f>--AND(A210+'Calculator'!$B$6&gt;=15,B210+'Calculator'!$B$6&gt;=15,C210+'Calculator'!$B$6&gt;=15)</x:f>
        <x:v>0</x:v>
      </x:c>
      <x:c r="H210" t="n">
        <x:f>--AND(F210=1,D210='Calculator'!$B$4)</x:f>
        <x:v>0</x:v>
      </x:c>
      <x:c r="I210" t="n">
        <x:f>--AND(H210=1,G210=1)</x:f>
        <x:v>0</x:v>
      </x:c>
      <x:c r="J210" t="n">
        <x:f>--AND(F210=1,E210='Calculator'!$B$4)</x:f>
        <x:v>0</x:v>
      </x:c>
      <x:c r="K210" t="n">
        <x:f>--AND(J210=1,G210=1)</x:f>
        <x:v>0</x:v>
      </x:c>
      <x:c r="L210" t="str">
        <x:f>A210&amp;"/"&amp;B210&amp;"/"&amp;C210</x:f>
        <x:v>8/6/14</x:v>
      </x:c>
      <x:c r="M210" t="str">
        <x:f>MIN(15,A210+'Calculator'!$B$6)&amp;"/"&amp;MIN(15,B210+'Calculator'!$B$6)&amp;"/"&amp;MIN(15,C210+'Calculator'!$B$6)</x:f>
        <x:v>10/8/15</x:v>
      </x:c>
    </x:row>
    <x:row r="211">
      <x:c r="A211" t="n">
        <x:v>8</x:v>
      </x:c>
      <x:c r="B211" t="n">
        <x:v>6</x:v>
      </x:c>
      <x:c r="C211" t="n">
        <x:v>15</x:v>
      </x:c>
      <x:c r="D211" t="n">
        <x:f>MAX(10,ROUNDDOWN((('Calculator'!$B$10+A211)*SQRT('Calculator'!$B$11+B211)*SQRT('Calculator'!$B$12+C211)*0.59740001^2)/10,0))</x:f>
        <x:v>2280</x:v>
      </x:c>
      <x:c r="E211" t="n">
        <x:f>MAX(10,ROUNDDOWN((('Calculator'!$B$10+A211)*SQRT('Calculator'!$B$11+B211)*SQRT('Calculator'!$B$12+C211)*0.667934^2)/10,0))</x:f>
        <x:v>2851</x:v>
      </x:c>
      <x:c r="F211" t="n">
        <x:f>--AND(A211&gt;='Calculator'!$B$5,B211&gt;='Calculator'!$B$5,C211&gt;='Calculator'!$B$5)</x:f>
        <x:v>1</x:v>
      </x:c>
      <x:c r="G211" t="n">
        <x:f>--AND(A211+'Calculator'!$B$6&gt;=15,B211+'Calculator'!$B$6&gt;=15,C211+'Calculator'!$B$6&gt;=15)</x:f>
        <x:v>0</x:v>
      </x:c>
      <x:c r="H211" t="n">
        <x:f>--AND(F211=1,D211='Calculator'!$B$4)</x:f>
        <x:v>0</x:v>
      </x:c>
      <x:c r="I211" t="n">
        <x:f>--AND(H211=1,G211=1)</x:f>
        <x:v>0</x:v>
      </x:c>
      <x:c r="J211" t="n">
        <x:f>--AND(F211=1,E211='Calculator'!$B$4)</x:f>
        <x:v>0</x:v>
      </x:c>
      <x:c r="K211" t="n">
        <x:f>--AND(J211=1,G211=1)</x:f>
        <x:v>0</x:v>
      </x:c>
      <x:c r="L211" t="str">
        <x:f>A211&amp;"/"&amp;B211&amp;"/"&amp;C211</x:f>
        <x:v>8/6/15</x:v>
      </x:c>
      <x:c r="M211" t="str">
        <x:f>MIN(15,A211+'Calculator'!$B$6)&amp;"/"&amp;MIN(15,B211+'Calculator'!$B$6)&amp;"/"&amp;MIN(15,C211+'Calculator'!$B$6)</x:f>
        <x:v>10/8/15</x:v>
      </x:c>
    </x:row>
    <x:row r="212">
      <x:c r="A212" t="n">
        <x:v>8</x:v>
      </x:c>
      <x:c r="B212" t="n">
        <x:v>7</x:v>
      </x:c>
      <x:c r="C212" t="n">
        <x:v>6</x:v>
      </x:c>
      <x:c r="D212" t="n">
        <x:f>MAX(10,ROUNDDOWN((('Calculator'!$B$10+A212)*SQRT('Calculator'!$B$11+B212)*SQRT('Calculator'!$B$12+C212)*0.59740001^2)/10,0))</x:f>
        <x:v>2241</x:v>
      </x:c>
      <x:c r="E212" t="n">
        <x:f>MAX(10,ROUNDDOWN((('Calculator'!$B$10+A212)*SQRT('Calculator'!$B$11+B212)*SQRT('Calculator'!$B$12+C212)*0.667934^2)/10,0))</x:f>
        <x:v>2801</x:v>
      </x:c>
      <x:c r="F212" t="n">
        <x:f>--AND(A212&gt;='Calculator'!$B$5,B212&gt;='Calculator'!$B$5,C212&gt;='Calculator'!$B$5)</x:f>
        <x:v>1</x:v>
      </x:c>
      <x:c r="G212" t="n">
        <x:f>--AND(A212+'Calculator'!$B$6&gt;=15,B212+'Calculator'!$B$6&gt;=15,C212+'Calculator'!$B$6&gt;=15)</x:f>
        <x:v>0</x:v>
      </x:c>
      <x:c r="H212" t="n">
        <x:f>--AND(F212=1,D212='Calculator'!$B$4)</x:f>
        <x:v>0</x:v>
      </x:c>
      <x:c r="I212" t="n">
        <x:f>--AND(H212=1,G212=1)</x:f>
        <x:v>0</x:v>
      </x:c>
      <x:c r="J212" t="n">
        <x:f>--AND(F212=1,E212='Calculator'!$B$4)</x:f>
        <x:v>0</x:v>
      </x:c>
      <x:c r="K212" t="n">
        <x:f>--AND(J212=1,G212=1)</x:f>
        <x:v>0</x:v>
      </x:c>
      <x:c r="L212" t="str">
        <x:f>A212&amp;"/"&amp;B212&amp;"/"&amp;C212</x:f>
        <x:v>8/7/6</x:v>
      </x:c>
      <x:c r="M212" t="str">
        <x:f>MIN(15,A212+'Calculator'!$B$6)&amp;"/"&amp;MIN(15,B212+'Calculator'!$B$6)&amp;"/"&amp;MIN(15,C212+'Calculator'!$B$6)</x:f>
        <x:v>10/9/8</x:v>
      </x:c>
    </x:row>
    <x:row r="213">
      <x:c r="A213" t="n">
        <x:v>8</x:v>
      </x:c>
      <x:c r="B213" t="n">
        <x:v>7</x:v>
      </x:c>
      <x:c r="C213" t="n">
        <x:v>7</x:v>
      </x:c>
      <x:c r="D213" t="n">
        <x:f>MAX(10,ROUNDDOWN((('Calculator'!$B$10+A213)*SQRT('Calculator'!$B$11+B213)*SQRT('Calculator'!$B$12+C213)*0.59740001^2)/10,0))</x:f>
        <x:v>2246</x:v>
      </x:c>
      <x:c r="E213" t="n">
        <x:f>MAX(10,ROUNDDOWN((('Calculator'!$B$10+A213)*SQRT('Calculator'!$B$11+B213)*SQRT('Calculator'!$B$12+C213)*0.667934^2)/10,0))</x:f>
        <x:v>2808</x:v>
      </x:c>
      <x:c r="F213" t="n">
        <x:f>--AND(A213&gt;='Calculator'!$B$5,B213&gt;='Calculator'!$B$5,C213&gt;='Calculator'!$B$5)</x:f>
        <x:v>1</x:v>
      </x:c>
      <x:c r="G213" t="n">
        <x:f>--AND(A213+'Calculator'!$B$6&gt;=15,B213+'Calculator'!$B$6&gt;=15,C213+'Calculator'!$B$6&gt;=15)</x:f>
        <x:v>0</x:v>
      </x:c>
      <x:c r="H213" t="n">
        <x:f>--AND(F213=1,D213='Calculator'!$B$4)</x:f>
        <x:v>0</x:v>
      </x:c>
      <x:c r="I213" t="n">
        <x:f>--AND(H213=1,G213=1)</x:f>
        <x:v>0</x:v>
      </x:c>
      <x:c r="J213" t="n">
        <x:f>--AND(F213=1,E213='Calculator'!$B$4)</x:f>
        <x:v>0</x:v>
      </x:c>
      <x:c r="K213" t="n">
        <x:f>--AND(J213=1,G213=1)</x:f>
        <x:v>0</x:v>
      </x:c>
      <x:c r="L213" t="str">
        <x:f>A213&amp;"/"&amp;B213&amp;"/"&amp;C213</x:f>
        <x:v>8/7/7</x:v>
      </x:c>
      <x:c r="M213" t="str">
        <x:f>MIN(15,A213+'Calculator'!$B$6)&amp;"/"&amp;MIN(15,B213+'Calculator'!$B$6)&amp;"/"&amp;MIN(15,C213+'Calculator'!$B$6)</x:f>
        <x:v>10/9/9</x:v>
      </x:c>
    </x:row>
    <x:row r="214">
      <x:c r="A214" t="n">
        <x:v>8</x:v>
      </x:c>
      <x:c r="B214" t="n">
        <x:v>7</x:v>
      </x:c>
      <x:c r="C214" t="n">
        <x:v>8</x:v>
      </x:c>
      <x:c r="D214" t="n">
        <x:f>MAX(10,ROUNDDOWN((('Calculator'!$B$10+A214)*SQRT('Calculator'!$B$11+B214)*SQRT('Calculator'!$B$12+C214)*0.59740001^2)/10,0))</x:f>
        <x:v>2251</x:v>
      </x:c>
      <x:c r="E214" t="n">
        <x:f>MAX(10,ROUNDDOWN((('Calculator'!$B$10+A214)*SQRT('Calculator'!$B$11+B214)*SQRT('Calculator'!$B$12+C214)*0.667934^2)/10,0))</x:f>
        <x:v>2814</x:v>
      </x:c>
      <x:c r="F214" t="n">
        <x:f>--AND(A214&gt;='Calculator'!$B$5,B214&gt;='Calculator'!$B$5,C214&gt;='Calculator'!$B$5)</x:f>
        <x:v>1</x:v>
      </x:c>
      <x:c r="G214" t="n">
        <x:f>--AND(A214+'Calculator'!$B$6&gt;=15,B214+'Calculator'!$B$6&gt;=15,C214+'Calculator'!$B$6&gt;=15)</x:f>
        <x:v>0</x:v>
      </x:c>
      <x:c r="H214" t="n">
        <x:f>--AND(F214=1,D214='Calculator'!$B$4)</x:f>
        <x:v>0</x:v>
      </x:c>
      <x:c r="I214" t="n">
        <x:f>--AND(H214=1,G214=1)</x:f>
        <x:v>0</x:v>
      </x:c>
      <x:c r="J214" t="n">
        <x:f>--AND(F214=1,E214='Calculator'!$B$4)</x:f>
        <x:v>0</x:v>
      </x:c>
      <x:c r="K214" t="n">
        <x:f>--AND(J214=1,G214=1)</x:f>
        <x:v>0</x:v>
      </x:c>
      <x:c r="L214" t="str">
        <x:f>A214&amp;"/"&amp;B214&amp;"/"&amp;C214</x:f>
        <x:v>8/7/8</x:v>
      </x:c>
      <x:c r="M214" t="str">
        <x:f>MIN(15,A214+'Calculator'!$B$6)&amp;"/"&amp;MIN(15,B214+'Calculator'!$B$6)&amp;"/"&amp;MIN(15,C214+'Calculator'!$B$6)</x:f>
        <x:v>10/9/10</x:v>
      </x:c>
    </x:row>
    <x:row r="215">
      <x:c r="A215" t="n">
        <x:v>8</x:v>
      </x:c>
      <x:c r="B215" t="n">
        <x:v>7</x:v>
      </x:c>
      <x:c r="C215" t="n">
        <x:v>9</x:v>
      </x:c>
      <x:c r="D215" t="n">
        <x:f>MAX(10,ROUNDDOWN((('Calculator'!$B$10+A215)*SQRT('Calculator'!$B$11+B215)*SQRT('Calculator'!$B$12+C215)*0.59740001^2)/10,0))</x:f>
        <x:v>2256</x:v>
      </x:c>
      <x:c r="E215" t="n">
        <x:f>MAX(10,ROUNDDOWN((('Calculator'!$B$10+A215)*SQRT('Calculator'!$B$11+B215)*SQRT('Calculator'!$B$12+C215)*0.667934^2)/10,0))</x:f>
        <x:v>2820</x:v>
      </x:c>
      <x:c r="F215" t="n">
        <x:f>--AND(A215&gt;='Calculator'!$B$5,B215&gt;='Calculator'!$B$5,C215&gt;='Calculator'!$B$5)</x:f>
        <x:v>1</x:v>
      </x:c>
      <x:c r="G215" t="n">
        <x:f>--AND(A215+'Calculator'!$B$6&gt;=15,B215+'Calculator'!$B$6&gt;=15,C215+'Calculator'!$B$6&gt;=15)</x:f>
        <x:v>0</x:v>
      </x:c>
      <x:c r="H215" t="n">
        <x:f>--AND(F215=1,D215='Calculator'!$B$4)</x:f>
        <x:v>0</x:v>
      </x:c>
      <x:c r="I215" t="n">
        <x:f>--AND(H215=1,G215=1)</x:f>
        <x:v>0</x:v>
      </x:c>
      <x:c r="J215" t="n">
        <x:f>--AND(F215=1,E215='Calculator'!$B$4)</x:f>
        <x:v>0</x:v>
      </x:c>
      <x:c r="K215" t="n">
        <x:f>--AND(J215=1,G215=1)</x:f>
        <x:v>0</x:v>
      </x:c>
      <x:c r="L215" t="str">
        <x:f>A215&amp;"/"&amp;B215&amp;"/"&amp;C215</x:f>
        <x:v>8/7/9</x:v>
      </x:c>
      <x:c r="M215" t="str">
        <x:f>MIN(15,A215+'Calculator'!$B$6)&amp;"/"&amp;MIN(15,B215+'Calculator'!$B$6)&amp;"/"&amp;MIN(15,C215+'Calculator'!$B$6)</x:f>
        <x:v>10/9/11</x:v>
      </x:c>
    </x:row>
    <x:row r="216">
      <x:c r="A216" t="n">
        <x:v>8</x:v>
      </x:c>
      <x:c r="B216" t="n">
        <x:v>7</x:v>
      </x:c>
      <x:c r="C216" t="n">
        <x:v>10</x:v>
      </x:c>
      <x:c r="D216" t="n">
        <x:f>MAX(10,ROUNDDOWN((('Calculator'!$B$10+A216)*SQRT('Calculator'!$B$11+B216)*SQRT('Calculator'!$B$12+C216)*0.59740001^2)/10,0))</x:f>
        <x:v>2261</x:v>
      </x:c>
      <x:c r="E216" t="n">
        <x:f>MAX(10,ROUNDDOWN((('Calculator'!$B$10+A216)*SQRT('Calculator'!$B$11+B216)*SQRT('Calculator'!$B$12+C216)*0.667934^2)/10,0))</x:f>
        <x:v>2827</x:v>
      </x:c>
      <x:c r="F216" t="n">
        <x:f>--AND(A216&gt;='Calculator'!$B$5,B216&gt;='Calculator'!$B$5,C216&gt;='Calculator'!$B$5)</x:f>
        <x:v>1</x:v>
      </x:c>
      <x:c r="G216" t="n">
        <x:f>--AND(A216+'Calculator'!$B$6&gt;=15,B216+'Calculator'!$B$6&gt;=15,C216+'Calculator'!$B$6&gt;=15)</x:f>
        <x:v>0</x:v>
      </x:c>
      <x:c r="H216" t="n">
        <x:f>--AND(F216=1,D216='Calculator'!$B$4)</x:f>
        <x:v>0</x:v>
      </x:c>
      <x:c r="I216" t="n">
        <x:f>--AND(H216=1,G216=1)</x:f>
        <x:v>0</x:v>
      </x:c>
      <x:c r="J216" t="n">
        <x:f>--AND(F216=1,E216='Calculator'!$B$4)</x:f>
        <x:v>0</x:v>
      </x:c>
      <x:c r="K216" t="n">
        <x:f>--AND(J216=1,G216=1)</x:f>
        <x:v>0</x:v>
      </x:c>
      <x:c r="L216" t="str">
        <x:f>A216&amp;"/"&amp;B216&amp;"/"&amp;C216</x:f>
        <x:v>8/7/10</x:v>
      </x:c>
      <x:c r="M216" t="str">
        <x:f>MIN(15,A216+'Calculator'!$B$6)&amp;"/"&amp;MIN(15,B216+'Calculator'!$B$6)&amp;"/"&amp;MIN(15,C216+'Calculator'!$B$6)</x:f>
        <x:v>10/9/12</x:v>
      </x:c>
    </x:row>
    <x:row r="217">
      <x:c r="A217" t="n">
        <x:v>8</x:v>
      </x:c>
      <x:c r="B217" t="n">
        <x:v>7</x:v>
      </x:c>
      <x:c r="C217" t="n">
        <x:v>11</x:v>
      </x:c>
      <x:c r="D217" t="n">
        <x:f>MAX(10,ROUNDDOWN((('Calculator'!$B$10+A217)*SQRT('Calculator'!$B$11+B217)*SQRT('Calculator'!$B$12+C217)*0.59740001^2)/10,0))</x:f>
        <x:v>2266</x:v>
      </x:c>
      <x:c r="E217" t="n">
        <x:f>MAX(10,ROUNDDOWN((('Calculator'!$B$10+A217)*SQRT('Calculator'!$B$11+B217)*SQRT('Calculator'!$B$12+C217)*0.667934^2)/10,0))</x:f>
        <x:v>2833</x:v>
      </x:c>
      <x:c r="F217" t="n">
        <x:f>--AND(A217&gt;='Calculator'!$B$5,B217&gt;='Calculator'!$B$5,C217&gt;='Calculator'!$B$5)</x:f>
        <x:v>1</x:v>
      </x:c>
      <x:c r="G217" t="n">
        <x:f>--AND(A217+'Calculator'!$B$6&gt;=15,B217+'Calculator'!$B$6&gt;=15,C217+'Calculator'!$B$6&gt;=15)</x:f>
        <x:v>0</x:v>
      </x:c>
      <x:c r="H217" t="n">
        <x:f>--AND(F217=1,D217='Calculator'!$B$4)</x:f>
        <x:v>0</x:v>
      </x:c>
      <x:c r="I217" t="n">
        <x:f>--AND(H217=1,G217=1)</x:f>
        <x:v>0</x:v>
      </x:c>
      <x:c r="J217" t="n">
        <x:f>--AND(F217=1,E217='Calculator'!$B$4)</x:f>
        <x:v>0</x:v>
      </x:c>
      <x:c r="K217" t="n">
        <x:f>--AND(J217=1,G217=1)</x:f>
        <x:v>0</x:v>
      </x:c>
      <x:c r="L217" t="str">
        <x:f>A217&amp;"/"&amp;B217&amp;"/"&amp;C217</x:f>
        <x:v>8/7/11</x:v>
      </x:c>
      <x:c r="M217" t="str">
        <x:f>MIN(15,A217+'Calculator'!$B$6)&amp;"/"&amp;MIN(15,B217+'Calculator'!$B$6)&amp;"/"&amp;MIN(15,C217+'Calculator'!$B$6)</x:f>
        <x:v>10/9/13</x:v>
      </x:c>
    </x:row>
    <x:row r="218">
      <x:c r="A218" t="n">
        <x:v>8</x:v>
      </x:c>
      <x:c r="B218" t="n">
        <x:v>7</x:v>
      </x:c>
      <x:c r="C218" t="n">
        <x:v>12</x:v>
      </x:c>
      <x:c r="D218" t="n">
        <x:f>MAX(10,ROUNDDOWN((('Calculator'!$B$10+A218)*SQRT('Calculator'!$B$11+B218)*SQRT('Calculator'!$B$12+C218)*0.59740001^2)/10,0))</x:f>
        <x:v>2271</x:v>
      </x:c>
      <x:c r="E218" t="n">
        <x:f>MAX(10,ROUNDDOWN((('Calculator'!$B$10+A218)*SQRT('Calculator'!$B$11+B218)*SQRT('Calculator'!$B$12+C218)*0.667934^2)/10,0))</x:f>
        <x:v>2839</x:v>
      </x:c>
      <x:c r="F218" t="n">
        <x:f>--AND(A218&gt;='Calculator'!$B$5,B218&gt;='Calculator'!$B$5,C218&gt;='Calculator'!$B$5)</x:f>
        <x:v>1</x:v>
      </x:c>
      <x:c r="G218" t="n">
        <x:f>--AND(A218+'Calculator'!$B$6&gt;=15,B218+'Calculator'!$B$6&gt;=15,C218+'Calculator'!$B$6&gt;=15)</x:f>
        <x:v>0</x:v>
      </x:c>
      <x:c r="H218" t="n">
        <x:f>--AND(F218=1,D218='Calculator'!$B$4)</x:f>
        <x:v>0</x:v>
      </x:c>
      <x:c r="I218" t="n">
        <x:f>--AND(H218=1,G218=1)</x:f>
        <x:v>0</x:v>
      </x:c>
      <x:c r="J218" t="n">
        <x:f>--AND(F218=1,E218='Calculator'!$B$4)</x:f>
        <x:v>0</x:v>
      </x:c>
      <x:c r="K218" t="n">
        <x:f>--AND(J218=1,G218=1)</x:f>
        <x:v>0</x:v>
      </x:c>
      <x:c r="L218" t="str">
        <x:f>A218&amp;"/"&amp;B218&amp;"/"&amp;C218</x:f>
        <x:v>8/7/12</x:v>
      </x:c>
      <x:c r="M218" t="str">
        <x:f>MIN(15,A218+'Calculator'!$B$6)&amp;"/"&amp;MIN(15,B218+'Calculator'!$B$6)&amp;"/"&amp;MIN(15,C218+'Calculator'!$B$6)</x:f>
        <x:v>10/9/14</x:v>
      </x:c>
    </x:row>
    <x:row r="219">
      <x:c r="A219" t="n">
        <x:v>8</x:v>
      </x:c>
      <x:c r="B219" t="n">
        <x:v>7</x:v>
      </x:c>
      <x:c r="C219" t="n">
        <x:v>13</x:v>
      </x:c>
      <x:c r="D219" t="n">
        <x:f>MAX(10,ROUNDDOWN((('Calculator'!$B$10+A219)*SQRT('Calculator'!$B$11+B219)*SQRT('Calculator'!$B$12+C219)*0.59740001^2)/10,0))</x:f>
        <x:v>2276</x:v>
      </x:c>
      <x:c r="E219" t="n">
        <x:f>MAX(10,ROUNDDOWN((('Calculator'!$B$10+A219)*SQRT('Calculator'!$B$11+B219)*SQRT('Calculator'!$B$12+C219)*0.667934^2)/10,0))</x:f>
        <x:v>2846</x:v>
      </x:c>
      <x:c r="F219" t="n">
        <x:f>--AND(A219&gt;='Calculator'!$B$5,B219&gt;='Calculator'!$B$5,C219&gt;='Calculator'!$B$5)</x:f>
        <x:v>1</x:v>
      </x:c>
      <x:c r="G219" t="n">
        <x:f>--AND(A219+'Calculator'!$B$6&gt;=15,B219+'Calculator'!$B$6&gt;=15,C219+'Calculator'!$B$6&gt;=15)</x:f>
        <x:v>0</x:v>
      </x:c>
      <x:c r="H219" t="n">
        <x:f>--AND(F219=1,D219='Calculator'!$B$4)</x:f>
        <x:v>0</x:v>
      </x:c>
      <x:c r="I219" t="n">
        <x:f>--AND(H219=1,G219=1)</x:f>
        <x:v>0</x:v>
      </x:c>
      <x:c r="J219" t="n">
        <x:f>--AND(F219=1,E219='Calculator'!$B$4)</x:f>
        <x:v>0</x:v>
      </x:c>
      <x:c r="K219" t="n">
        <x:f>--AND(J219=1,G219=1)</x:f>
        <x:v>0</x:v>
      </x:c>
      <x:c r="L219" t="str">
        <x:f>A219&amp;"/"&amp;B219&amp;"/"&amp;C219</x:f>
        <x:v>8/7/13</x:v>
      </x:c>
      <x:c r="M219" t="str">
        <x:f>MIN(15,A219+'Calculator'!$B$6)&amp;"/"&amp;MIN(15,B219+'Calculator'!$B$6)&amp;"/"&amp;MIN(15,C219+'Calculator'!$B$6)</x:f>
        <x:v>10/9/15</x:v>
      </x:c>
    </x:row>
    <x:row r="220">
      <x:c r="A220" t="n">
        <x:v>8</x:v>
      </x:c>
      <x:c r="B220" t="n">
        <x:v>7</x:v>
      </x:c>
      <x:c r="C220" t="n">
        <x:v>14</x:v>
      </x:c>
      <x:c r="D220" t="n">
        <x:f>MAX(10,ROUNDDOWN((('Calculator'!$B$10+A220)*SQRT('Calculator'!$B$11+B220)*SQRT('Calculator'!$B$12+C220)*0.59740001^2)/10,0))</x:f>
        <x:v>2281</x:v>
      </x:c>
      <x:c r="E220" t="n">
        <x:f>MAX(10,ROUNDDOWN((('Calculator'!$B$10+A220)*SQRT('Calculator'!$B$11+B220)*SQRT('Calculator'!$B$12+C220)*0.667934^2)/10,0))</x:f>
        <x:v>2852</x:v>
      </x:c>
      <x:c r="F220" t="n">
        <x:f>--AND(A220&gt;='Calculator'!$B$5,B220&gt;='Calculator'!$B$5,C220&gt;='Calculator'!$B$5)</x:f>
        <x:v>1</x:v>
      </x:c>
      <x:c r="G220" t="n">
        <x:f>--AND(A220+'Calculator'!$B$6&gt;=15,B220+'Calculator'!$B$6&gt;=15,C220+'Calculator'!$B$6&gt;=15)</x:f>
        <x:v>0</x:v>
      </x:c>
      <x:c r="H220" t="n">
        <x:f>--AND(F220=1,D220='Calculator'!$B$4)</x:f>
        <x:v>0</x:v>
      </x:c>
      <x:c r="I220" t="n">
        <x:f>--AND(H220=1,G220=1)</x:f>
        <x:v>0</x:v>
      </x:c>
      <x:c r="J220" t="n">
        <x:f>--AND(F220=1,E220='Calculator'!$B$4)</x:f>
        <x:v>0</x:v>
      </x:c>
      <x:c r="K220" t="n">
        <x:f>--AND(J220=1,G220=1)</x:f>
        <x:v>0</x:v>
      </x:c>
      <x:c r="L220" t="str">
        <x:f>A220&amp;"/"&amp;B220&amp;"/"&amp;C220</x:f>
        <x:v>8/7/14</x:v>
      </x:c>
      <x:c r="M220" t="str">
        <x:f>MIN(15,A220+'Calculator'!$B$6)&amp;"/"&amp;MIN(15,B220+'Calculator'!$B$6)&amp;"/"&amp;MIN(15,C220+'Calculator'!$B$6)</x:f>
        <x:v>10/9/15</x:v>
      </x:c>
    </x:row>
    <x:row r="221">
      <x:c r="A221" t="n">
        <x:v>8</x:v>
      </x:c>
      <x:c r="B221" t="n">
        <x:v>7</x:v>
      </x:c>
      <x:c r="C221" t="n">
        <x:v>15</x:v>
      </x:c>
      <x:c r="D221" t="n">
        <x:f>MAX(10,ROUNDDOWN((('Calculator'!$B$10+A221)*SQRT('Calculator'!$B$11+B221)*SQRT('Calculator'!$B$12+C221)*0.59740001^2)/10,0))</x:f>
        <x:v>2286</x:v>
      </x:c>
      <x:c r="E221" t="n">
        <x:f>MAX(10,ROUNDDOWN((('Calculator'!$B$10+A221)*SQRT('Calculator'!$B$11+B221)*SQRT('Calculator'!$B$12+C221)*0.667934^2)/10,0))</x:f>
        <x:v>2858</x:v>
      </x:c>
      <x:c r="F221" t="n">
        <x:f>--AND(A221&gt;='Calculator'!$B$5,B221&gt;='Calculator'!$B$5,C221&gt;='Calculator'!$B$5)</x:f>
        <x:v>1</x:v>
      </x:c>
      <x:c r="G221" t="n">
        <x:f>--AND(A221+'Calculator'!$B$6&gt;=15,B221+'Calculator'!$B$6&gt;=15,C221+'Calculator'!$B$6&gt;=15)</x:f>
        <x:v>0</x:v>
      </x:c>
      <x:c r="H221" t="n">
        <x:f>--AND(F221=1,D221='Calculator'!$B$4)</x:f>
        <x:v>0</x:v>
      </x:c>
      <x:c r="I221" t="n">
        <x:f>--AND(H221=1,G221=1)</x:f>
        <x:v>0</x:v>
      </x:c>
      <x:c r="J221" t="n">
        <x:f>--AND(F221=1,E221='Calculator'!$B$4)</x:f>
        <x:v>0</x:v>
      </x:c>
      <x:c r="K221" t="n">
        <x:f>--AND(J221=1,G221=1)</x:f>
        <x:v>0</x:v>
      </x:c>
      <x:c r="L221" t="str">
        <x:f>A221&amp;"/"&amp;B221&amp;"/"&amp;C221</x:f>
        <x:v>8/7/15</x:v>
      </x:c>
      <x:c r="M221" t="str">
        <x:f>MIN(15,A221+'Calculator'!$B$6)&amp;"/"&amp;MIN(15,B221+'Calculator'!$B$6)&amp;"/"&amp;MIN(15,C221+'Calculator'!$B$6)</x:f>
        <x:v>10/9/15</x:v>
      </x:c>
    </x:row>
    <x:row r="222">
      <x:c r="A222" t="n">
        <x:v>8</x:v>
      </x:c>
      <x:c r="B222" t="n">
        <x:v>8</x:v>
      </x:c>
      <x:c r="C222" t="n">
        <x:v>6</x:v>
      </x:c>
      <x:c r="D222" t="n">
        <x:f>MAX(10,ROUNDDOWN((('Calculator'!$B$10+A222)*SQRT('Calculator'!$B$11+B222)*SQRT('Calculator'!$B$12+C222)*0.59740001^2)/10,0))</x:f>
        <x:v>2247</x:v>
      </x:c>
      <x:c r="E222" t="n">
        <x:f>MAX(10,ROUNDDOWN((('Calculator'!$B$10+A222)*SQRT('Calculator'!$B$11+B222)*SQRT('Calculator'!$B$12+C222)*0.667934^2)/10,0))</x:f>
        <x:v>2809</x:v>
      </x:c>
      <x:c r="F222" t="n">
        <x:f>--AND(A222&gt;='Calculator'!$B$5,B222&gt;='Calculator'!$B$5,C222&gt;='Calculator'!$B$5)</x:f>
        <x:v>1</x:v>
      </x:c>
      <x:c r="G222" t="n">
        <x:f>--AND(A222+'Calculator'!$B$6&gt;=15,B222+'Calculator'!$B$6&gt;=15,C222+'Calculator'!$B$6&gt;=15)</x:f>
        <x:v>0</x:v>
      </x:c>
      <x:c r="H222" t="n">
        <x:f>--AND(F222=1,D222='Calculator'!$B$4)</x:f>
        <x:v>0</x:v>
      </x:c>
      <x:c r="I222" t="n">
        <x:f>--AND(H222=1,G222=1)</x:f>
        <x:v>0</x:v>
      </x:c>
      <x:c r="J222" t="n">
        <x:f>--AND(F222=1,E222='Calculator'!$B$4)</x:f>
        <x:v>0</x:v>
      </x:c>
      <x:c r="K222" t="n">
        <x:f>--AND(J222=1,G222=1)</x:f>
        <x:v>0</x:v>
      </x:c>
      <x:c r="L222" t="str">
        <x:f>A222&amp;"/"&amp;B222&amp;"/"&amp;C222</x:f>
        <x:v>8/8/6</x:v>
      </x:c>
      <x:c r="M222" t="str">
        <x:f>MIN(15,A222+'Calculator'!$B$6)&amp;"/"&amp;MIN(15,B222+'Calculator'!$B$6)&amp;"/"&amp;MIN(15,C222+'Calculator'!$B$6)</x:f>
        <x:v>10/10/8</x:v>
      </x:c>
    </x:row>
    <x:row r="223">
      <x:c r="A223" t="n">
        <x:v>8</x:v>
      </x:c>
      <x:c r="B223" t="n">
        <x:v>8</x:v>
      </x:c>
      <x:c r="C223" t="n">
        <x:v>7</x:v>
      </x:c>
      <x:c r="D223" t="n">
        <x:f>MAX(10,ROUNDDOWN((('Calculator'!$B$10+A223)*SQRT('Calculator'!$B$11+B223)*SQRT('Calculator'!$B$12+C223)*0.59740001^2)/10,0))</x:f>
        <x:v>2252</x:v>
      </x:c>
      <x:c r="E223" t="n">
        <x:f>MAX(10,ROUNDDOWN((('Calculator'!$B$10+A223)*SQRT('Calculator'!$B$11+B223)*SQRT('Calculator'!$B$12+C223)*0.667934^2)/10,0))</x:f>
        <x:v>2815</x:v>
      </x:c>
      <x:c r="F223" t="n">
        <x:f>--AND(A223&gt;='Calculator'!$B$5,B223&gt;='Calculator'!$B$5,C223&gt;='Calculator'!$B$5)</x:f>
        <x:v>1</x:v>
      </x:c>
      <x:c r="G223" t="n">
        <x:f>--AND(A223+'Calculator'!$B$6&gt;=15,B223+'Calculator'!$B$6&gt;=15,C223+'Calculator'!$B$6&gt;=15)</x:f>
        <x:v>0</x:v>
      </x:c>
      <x:c r="H223" t="n">
        <x:f>--AND(F223=1,D223='Calculator'!$B$4)</x:f>
        <x:v>0</x:v>
      </x:c>
      <x:c r="I223" t="n">
        <x:f>--AND(H223=1,G223=1)</x:f>
        <x:v>0</x:v>
      </x:c>
      <x:c r="J223" t="n">
        <x:f>--AND(F223=1,E223='Calculator'!$B$4)</x:f>
        <x:v>0</x:v>
      </x:c>
      <x:c r="K223" t="n">
        <x:f>--AND(J223=1,G223=1)</x:f>
        <x:v>0</x:v>
      </x:c>
      <x:c r="L223" t="str">
        <x:f>A223&amp;"/"&amp;B223&amp;"/"&amp;C223</x:f>
        <x:v>8/8/7</x:v>
      </x:c>
      <x:c r="M223" t="str">
        <x:f>MIN(15,A223+'Calculator'!$B$6)&amp;"/"&amp;MIN(15,B223+'Calculator'!$B$6)&amp;"/"&amp;MIN(15,C223+'Calculator'!$B$6)</x:f>
        <x:v>10/10/9</x:v>
      </x:c>
    </x:row>
    <x:row r="224">
      <x:c r="A224" t="n">
        <x:v>8</x:v>
      </x:c>
      <x:c r="B224" t="n">
        <x:v>8</x:v>
      </x:c>
      <x:c r="C224" t="n">
        <x:v>8</x:v>
      </x:c>
      <x:c r="D224" t="n">
        <x:f>MAX(10,ROUNDDOWN((('Calculator'!$B$10+A224)*SQRT('Calculator'!$B$11+B224)*SQRT('Calculator'!$B$12+C224)*0.59740001^2)/10,0))</x:f>
        <x:v>2257</x:v>
      </x:c>
      <x:c r="E224" t="n">
        <x:f>MAX(10,ROUNDDOWN((('Calculator'!$B$10+A224)*SQRT('Calculator'!$B$11+B224)*SQRT('Calculator'!$B$12+C224)*0.667934^2)/10,0))</x:f>
        <x:v>2822</x:v>
      </x:c>
      <x:c r="F224" t="n">
        <x:f>--AND(A224&gt;='Calculator'!$B$5,B224&gt;='Calculator'!$B$5,C224&gt;='Calculator'!$B$5)</x:f>
        <x:v>1</x:v>
      </x:c>
      <x:c r="G224" t="n">
        <x:f>--AND(A224+'Calculator'!$B$6&gt;=15,B224+'Calculator'!$B$6&gt;=15,C224+'Calculator'!$B$6&gt;=15)</x:f>
        <x:v>0</x:v>
      </x:c>
      <x:c r="H224" t="n">
        <x:f>--AND(F224=1,D224='Calculator'!$B$4)</x:f>
        <x:v>0</x:v>
      </x:c>
      <x:c r="I224" t="n">
        <x:f>--AND(H224=1,G224=1)</x:f>
        <x:v>0</x:v>
      </x:c>
      <x:c r="J224" t="n">
        <x:f>--AND(F224=1,E224='Calculator'!$B$4)</x:f>
        <x:v>0</x:v>
      </x:c>
      <x:c r="K224" t="n">
        <x:f>--AND(J224=1,G224=1)</x:f>
        <x:v>0</x:v>
      </x:c>
      <x:c r="L224" t="str">
        <x:f>A224&amp;"/"&amp;B224&amp;"/"&amp;C224</x:f>
        <x:v>8/8/8</x:v>
      </x:c>
      <x:c r="M224" t="str">
        <x:f>MIN(15,A224+'Calculator'!$B$6)&amp;"/"&amp;MIN(15,B224+'Calculator'!$B$6)&amp;"/"&amp;MIN(15,C224+'Calculator'!$B$6)</x:f>
        <x:v>10/10/10</x:v>
      </x:c>
    </x:row>
    <x:row r="225">
      <x:c r="A225" t="n">
        <x:v>8</x:v>
      </x:c>
      <x:c r="B225" t="n">
        <x:v>8</x:v>
      </x:c>
      <x:c r="C225" t="n">
        <x:v>9</x:v>
      </x:c>
      <x:c r="D225" t="n">
        <x:f>MAX(10,ROUNDDOWN((('Calculator'!$B$10+A225)*SQRT('Calculator'!$B$11+B225)*SQRT('Calculator'!$B$12+C225)*0.59740001^2)/10,0))</x:f>
        <x:v>2262</x:v>
      </x:c>
      <x:c r="E225" t="n">
        <x:f>MAX(10,ROUNDDOWN((('Calculator'!$B$10+A225)*SQRT('Calculator'!$B$11+B225)*SQRT('Calculator'!$B$12+C225)*0.667934^2)/10,0))</x:f>
        <x:v>2828</x:v>
      </x:c>
      <x:c r="F225" t="n">
        <x:f>--AND(A225&gt;='Calculator'!$B$5,B225&gt;='Calculator'!$B$5,C225&gt;='Calculator'!$B$5)</x:f>
        <x:v>1</x:v>
      </x:c>
      <x:c r="G225" t="n">
        <x:f>--AND(A225+'Calculator'!$B$6&gt;=15,B225+'Calculator'!$B$6&gt;=15,C225+'Calculator'!$B$6&gt;=15)</x:f>
        <x:v>0</x:v>
      </x:c>
      <x:c r="H225" t="n">
        <x:f>--AND(F225=1,D225='Calculator'!$B$4)</x:f>
        <x:v>0</x:v>
      </x:c>
      <x:c r="I225" t="n">
        <x:f>--AND(H225=1,G225=1)</x:f>
        <x:v>0</x:v>
      </x:c>
      <x:c r="J225" t="n">
        <x:f>--AND(F225=1,E225='Calculator'!$B$4)</x:f>
        <x:v>0</x:v>
      </x:c>
      <x:c r="K225" t="n">
        <x:f>--AND(J225=1,G225=1)</x:f>
        <x:v>0</x:v>
      </x:c>
      <x:c r="L225" t="str">
        <x:f>A225&amp;"/"&amp;B225&amp;"/"&amp;C225</x:f>
        <x:v>8/8/9</x:v>
      </x:c>
      <x:c r="M225" t="str">
        <x:f>MIN(15,A225+'Calculator'!$B$6)&amp;"/"&amp;MIN(15,B225+'Calculator'!$B$6)&amp;"/"&amp;MIN(15,C225+'Calculator'!$B$6)</x:f>
        <x:v>10/10/11</x:v>
      </x:c>
    </x:row>
    <x:row r="226">
      <x:c r="A226" t="n">
        <x:v>8</x:v>
      </x:c>
      <x:c r="B226" t="n">
        <x:v>8</x:v>
      </x:c>
      <x:c r="C226" t="n">
        <x:v>10</x:v>
      </x:c>
      <x:c r="D226" t="n">
        <x:f>MAX(10,ROUNDDOWN((('Calculator'!$B$10+A226)*SQRT('Calculator'!$B$11+B226)*SQRT('Calculator'!$B$12+C226)*0.59740001^2)/10,0))</x:f>
        <x:v>2267</x:v>
      </x:c>
      <x:c r="E226" t="n">
        <x:f>MAX(10,ROUNDDOWN((('Calculator'!$B$10+A226)*SQRT('Calculator'!$B$11+B226)*SQRT('Calculator'!$B$12+C226)*0.667934^2)/10,0))</x:f>
        <x:v>2834</x:v>
      </x:c>
      <x:c r="F226" t="n">
        <x:f>--AND(A226&gt;='Calculator'!$B$5,B226&gt;='Calculator'!$B$5,C226&gt;='Calculator'!$B$5)</x:f>
        <x:v>1</x:v>
      </x:c>
      <x:c r="G226" t="n">
        <x:f>--AND(A226+'Calculator'!$B$6&gt;=15,B226+'Calculator'!$B$6&gt;=15,C226+'Calculator'!$B$6&gt;=15)</x:f>
        <x:v>0</x:v>
      </x:c>
      <x:c r="H226" t="n">
        <x:f>--AND(F226=1,D226='Calculator'!$B$4)</x:f>
        <x:v>0</x:v>
      </x:c>
      <x:c r="I226" t="n">
        <x:f>--AND(H226=1,G226=1)</x:f>
        <x:v>0</x:v>
      </x:c>
      <x:c r="J226" t="n">
        <x:f>--AND(F226=1,E226='Calculator'!$B$4)</x:f>
        <x:v>0</x:v>
      </x:c>
      <x:c r="K226" t="n">
        <x:f>--AND(J226=1,G226=1)</x:f>
        <x:v>0</x:v>
      </x:c>
      <x:c r="L226" t="str">
        <x:f>A226&amp;"/"&amp;B226&amp;"/"&amp;C226</x:f>
        <x:v>8/8/10</x:v>
      </x:c>
      <x:c r="M226" t="str">
        <x:f>MIN(15,A226+'Calculator'!$B$6)&amp;"/"&amp;MIN(15,B226+'Calculator'!$B$6)&amp;"/"&amp;MIN(15,C226+'Calculator'!$B$6)</x:f>
        <x:v>10/10/12</x:v>
      </x:c>
    </x:row>
    <x:row r="227">
      <x:c r="A227" t="n">
        <x:v>8</x:v>
      </x:c>
      <x:c r="B227" t="n">
        <x:v>8</x:v>
      </x:c>
      <x:c r="C227" t="n">
        <x:v>11</x:v>
      </x:c>
      <x:c r="D227" t="n">
        <x:f>MAX(10,ROUNDDOWN((('Calculator'!$B$10+A227)*SQRT('Calculator'!$B$11+B227)*SQRT('Calculator'!$B$12+C227)*0.59740001^2)/10,0))</x:f>
        <x:v>2272</x:v>
      </x:c>
      <x:c r="E227" t="n">
        <x:f>MAX(10,ROUNDDOWN((('Calculator'!$B$10+A227)*SQRT('Calculator'!$B$11+B227)*SQRT('Calculator'!$B$12+C227)*0.667934^2)/10,0))</x:f>
        <x:v>2841</x:v>
      </x:c>
      <x:c r="F227" t="n">
        <x:f>--AND(A227&gt;='Calculator'!$B$5,B227&gt;='Calculator'!$B$5,C227&gt;='Calculator'!$B$5)</x:f>
        <x:v>1</x:v>
      </x:c>
      <x:c r="G227" t="n">
        <x:f>--AND(A227+'Calculator'!$B$6&gt;=15,B227+'Calculator'!$B$6&gt;=15,C227+'Calculator'!$B$6&gt;=15)</x:f>
        <x:v>0</x:v>
      </x:c>
      <x:c r="H227" t="n">
        <x:f>--AND(F227=1,D227='Calculator'!$B$4)</x:f>
        <x:v>0</x:v>
      </x:c>
      <x:c r="I227" t="n">
        <x:f>--AND(H227=1,G227=1)</x:f>
        <x:v>0</x:v>
      </x:c>
      <x:c r="J227" t="n">
        <x:f>--AND(F227=1,E227='Calculator'!$B$4)</x:f>
        <x:v>0</x:v>
      </x:c>
      <x:c r="K227" t="n">
        <x:f>--AND(J227=1,G227=1)</x:f>
        <x:v>0</x:v>
      </x:c>
      <x:c r="L227" t="str">
        <x:f>A227&amp;"/"&amp;B227&amp;"/"&amp;C227</x:f>
        <x:v>8/8/11</x:v>
      </x:c>
      <x:c r="M227" t="str">
        <x:f>MIN(15,A227+'Calculator'!$B$6)&amp;"/"&amp;MIN(15,B227+'Calculator'!$B$6)&amp;"/"&amp;MIN(15,C227+'Calculator'!$B$6)</x:f>
        <x:v>10/10/13</x:v>
      </x:c>
    </x:row>
    <x:row r="228">
      <x:c r="A228" t="n">
        <x:v>8</x:v>
      </x:c>
      <x:c r="B228" t="n">
        <x:v>8</x:v>
      </x:c>
      <x:c r="C228" t="n">
        <x:v>12</x:v>
      </x:c>
      <x:c r="D228" t="n">
        <x:f>MAX(10,ROUNDDOWN((('Calculator'!$B$10+A228)*SQRT('Calculator'!$B$11+B228)*SQRT('Calculator'!$B$12+C228)*0.59740001^2)/10,0))</x:f>
        <x:v>2277</x:v>
      </x:c>
      <x:c r="E228" t="n">
        <x:f>MAX(10,ROUNDDOWN((('Calculator'!$B$10+A228)*SQRT('Calculator'!$B$11+B228)*SQRT('Calculator'!$B$12+C228)*0.667934^2)/10,0))</x:f>
        <x:v>2847</x:v>
      </x:c>
      <x:c r="F228" t="n">
        <x:f>--AND(A228&gt;='Calculator'!$B$5,B228&gt;='Calculator'!$B$5,C228&gt;='Calculator'!$B$5)</x:f>
        <x:v>1</x:v>
      </x:c>
      <x:c r="G228" t="n">
        <x:f>--AND(A228+'Calculator'!$B$6&gt;=15,B228+'Calculator'!$B$6&gt;=15,C228+'Calculator'!$B$6&gt;=15)</x:f>
        <x:v>0</x:v>
      </x:c>
      <x:c r="H228" t="n">
        <x:f>--AND(F228=1,D228='Calculator'!$B$4)</x:f>
        <x:v>0</x:v>
      </x:c>
      <x:c r="I228" t="n">
        <x:f>--AND(H228=1,G228=1)</x:f>
        <x:v>0</x:v>
      </x:c>
      <x:c r="J228" t="n">
        <x:f>--AND(F228=1,E228='Calculator'!$B$4)</x:f>
        <x:v>0</x:v>
      </x:c>
      <x:c r="K228" t="n">
        <x:f>--AND(J228=1,G228=1)</x:f>
        <x:v>0</x:v>
      </x:c>
      <x:c r="L228" t="str">
        <x:f>A228&amp;"/"&amp;B228&amp;"/"&amp;C228</x:f>
        <x:v>8/8/12</x:v>
      </x:c>
      <x:c r="M228" t="str">
        <x:f>MIN(15,A228+'Calculator'!$B$6)&amp;"/"&amp;MIN(15,B228+'Calculator'!$B$6)&amp;"/"&amp;MIN(15,C228+'Calculator'!$B$6)</x:f>
        <x:v>10/10/14</x:v>
      </x:c>
    </x:row>
    <x:row r="229">
      <x:c r="A229" t="n">
        <x:v>8</x:v>
      </x:c>
      <x:c r="B229" t="n">
        <x:v>8</x:v>
      </x:c>
      <x:c r="C229" t="n">
        <x:v>13</x:v>
      </x:c>
      <x:c r="D229" t="n">
        <x:f>MAX(10,ROUNDDOWN((('Calculator'!$B$10+A229)*SQRT('Calculator'!$B$11+B229)*SQRT('Calculator'!$B$12+C229)*0.59740001^2)/10,0))</x:f>
        <x:v>2282</x:v>
      </x:c>
      <x:c r="E229" t="n">
        <x:f>MAX(10,ROUNDDOWN((('Calculator'!$B$10+A229)*SQRT('Calculator'!$B$11+B229)*SQRT('Calculator'!$B$12+C229)*0.667934^2)/10,0))</x:f>
        <x:v>2853</x:v>
      </x:c>
      <x:c r="F229" t="n">
        <x:f>--AND(A229&gt;='Calculator'!$B$5,B229&gt;='Calculator'!$B$5,C229&gt;='Calculator'!$B$5)</x:f>
        <x:v>1</x:v>
      </x:c>
      <x:c r="G229" t="n">
        <x:f>--AND(A229+'Calculator'!$B$6&gt;=15,B229+'Calculator'!$B$6&gt;=15,C229+'Calculator'!$B$6&gt;=15)</x:f>
        <x:v>0</x:v>
      </x:c>
      <x:c r="H229" t="n">
        <x:f>--AND(F229=1,D229='Calculator'!$B$4)</x:f>
        <x:v>0</x:v>
      </x:c>
      <x:c r="I229" t="n">
        <x:f>--AND(H229=1,G229=1)</x:f>
        <x:v>0</x:v>
      </x:c>
      <x:c r="J229" t="n">
        <x:f>--AND(F229=1,E229='Calculator'!$B$4)</x:f>
        <x:v>0</x:v>
      </x:c>
      <x:c r="K229" t="n">
        <x:f>--AND(J229=1,G229=1)</x:f>
        <x:v>0</x:v>
      </x:c>
      <x:c r="L229" t="str">
        <x:f>A229&amp;"/"&amp;B229&amp;"/"&amp;C229</x:f>
        <x:v>8/8/13</x:v>
      </x:c>
      <x:c r="M229" t="str">
        <x:f>MIN(15,A229+'Calculator'!$B$6)&amp;"/"&amp;MIN(15,B229+'Calculator'!$B$6)&amp;"/"&amp;MIN(15,C229+'Calculator'!$B$6)</x:f>
        <x:v>10/10/15</x:v>
      </x:c>
    </x:row>
    <x:row r="230">
      <x:c r="A230" t="n">
        <x:v>8</x:v>
      </x:c>
      <x:c r="B230" t="n">
        <x:v>8</x:v>
      </x:c>
      <x:c r="C230" t="n">
        <x:v>14</x:v>
      </x:c>
      <x:c r="D230" t="n">
        <x:f>MAX(10,ROUNDDOWN((('Calculator'!$B$10+A230)*SQRT('Calculator'!$B$11+B230)*SQRT('Calculator'!$B$12+C230)*0.59740001^2)/10,0))</x:f>
        <x:v>2287</x:v>
      </x:c>
      <x:c r="E230" t="n">
        <x:f>MAX(10,ROUNDDOWN((('Calculator'!$B$10+A230)*SQRT('Calculator'!$B$11+B230)*SQRT('Calculator'!$B$12+C230)*0.667934^2)/10,0))</x:f>
        <x:v>2859</x:v>
      </x:c>
      <x:c r="F230" t="n">
        <x:f>--AND(A230&gt;='Calculator'!$B$5,B230&gt;='Calculator'!$B$5,C230&gt;='Calculator'!$B$5)</x:f>
        <x:v>1</x:v>
      </x:c>
      <x:c r="G230" t="n">
        <x:f>--AND(A230+'Calculator'!$B$6&gt;=15,B230+'Calculator'!$B$6&gt;=15,C230+'Calculator'!$B$6&gt;=15)</x:f>
        <x:v>0</x:v>
      </x:c>
      <x:c r="H230" t="n">
        <x:f>--AND(F230=1,D230='Calculator'!$B$4)</x:f>
        <x:v>0</x:v>
      </x:c>
      <x:c r="I230" t="n">
        <x:f>--AND(H230=1,G230=1)</x:f>
        <x:v>0</x:v>
      </x:c>
      <x:c r="J230" t="n">
        <x:f>--AND(F230=1,E230='Calculator'!$B$4)</x:f>
        <x:v>0</x:v>
      </x:c>
      <x:c r="K230" t="n">
        <x:f>--AND(J230=1,G230=1)</x:f>
        <x:v>0</x:v>
      </x:c>
      <x:c r="L230" t="str">
        <x:f>A230&amp;"/"&amp;B230&amp;"/"&amp;C230</x:f>
        <x:v>8/8/14</x:v>
      </x:c>
      <x:c r="M230" t="str">
        <x:f>MIN(15,A230+'Calculator'!$B$6)&amp;"/"&amp;MIN(15,B230+'Calculator'!$B$6)&amp;"/"&amp;MIN(15,C230+'Calculator'!$B$6)</x:f>
        <x:v>10/10/15</x:v>
      </x:c>
    </x:row>
    <x:row r="231">
      <x:c r="A231" t="n">
        <x:v>8</x:v>
      </x:c>
      <x:c r="B231" t="n">
        <x:v>8</x:v>
      </x:c>
      <x:c r="C231" t="n">
        <x:v>15</x:v>
      </x:c>
      <x:c r="D231" t="n">
        <x:f>MAX(10,ROUNDDOWN((('Calculator'!$B$10+A231)*SQRT('Calculator'!$B$11+B231)*SQRT('Calculator'!$B$12+C231)*0.59740001^2)/10,0))</x:f>
        <x:v>2292</x:v>
      </x:c>
      <x:c r="E231" t="n">
        <x:f>MAX(10,ROUNDDOWN((('Calculator'!$B$10+A231)*SQRT('Calculator'!$B$11+B231)*SQRT('Calculator'!$B$12+C231)*0.667934^2)/10,0))</x:f>
        <x:v>2866</x:v>
      </x:c>
      <x:c r="F231" t="n">
        <x:f>--AND(A231&gt;='Calculator'!$B$5,B231&gt;='Calculator'!$B$5,C231&gt;='Calculator'!$B$5)</x:f>
        <x:v>1</x:v>
      </x:c>
      <x:c r="G231" t="n">
        <x:f>--AND(A231+'Calculator'!$B$6&gt;=15,B231+'Calculator'!$B$6&gt;=15,C231+'Calculator'!$B$6&gt;=15)</x:f>
        <x:v>0</x:v>
      </x:c>
      <x:c r="H231" t="n">
        <x:f>--AND(F231=1,D231='Calculator'!$B$4)</x:f>
        <x:v>0</x:v>
      </x:c>
      <x:c r="I231" t="n">
        <x:f>--AND(H231=1,G231=1)</x:f>
        <x:v>0</x:v>
      </x:c>
      <x:c r="J231" t="n">
        <x:f>--AND(F231=1,E231='Calculator'!$B$4)</x:f>
        <x:v>0</x:v>
      </x:c>
      <x:c r="K231" t="n">
        <x:f>--AND(J231=1,G231=1)</x:f>
        <x:v>0</x:v>
      </x:c>
      <x:c r="L231" t="str">
        <x:f>A231&amp;"/"&amp;B231&amp;"/"&amp;C231</x:f>
        <x:v>8/8/15</x:v>
      </x:c>
      <x:c r="M231" t="str">
        <x:f>MIN(15,A231+'Calculator'!$B$6)&amp;"/"&amp;MIN(15,B231+'Calculator'!$B$6)&amp;"/"&amp;MIN(15,C231+'Calculator'!$B$6)</x:f>
        <x:v>10/10/15</x:v>
      </x:c>
    </x:row>
    <x:row r="232">
      <x:c r="A232" t="n">
        <x:v>8</x:v>
      </x:c>
      <x:c r="B232" t="n">
        <x:v>9</x:v>
      </x:c>
      <x:c r="C232" t="n">
        <x:v>6</x:v>
      </x:c>
      <x:c r="D232" t="n">
        <x:f>MAX(10,ROUNDDOWN((('Calculator'!$B$10+A232)*SQRT('Calculator'!$B$11+B232)*SQRT('Calculator'!$B$12+C232)*0.59740001^2)/10,0))</x:f>
        <x:v>2253</x:v>
      </x:c>
      <x:c r="E232" t="n">
        <x:f>MAX(10,ROUNDDOWN((('Calculator'!$B$10+A232)*SQRT('Calculator'!$B$11+B232)*SQRT('Calculator'!$B$12+C232)*0.667934^2)/10,0))</x:f>
        <x:v>2816</x:v>
      </x:c>
      <x:c r="F232" t="n">
        <x:f>--AND(A232&gt;='Calculator'!$B$5,B232&gt;='Calculator'!$B$5,C232&gt;='Calculator'!$B$5)</x:f>
        <x:v>1</x:v>
      </x:c>
      <x:c r="G232" t="n">
        <x:f>--AND(A232+'Calculator'!$B$6&gt;=15,B232+'Calculator'!$B$6&gt;=15,C232+'Calculator'!$B$6&gt;=15)</x:f>
        <x:v>0</x:v>
      </x:c>
      <x:c r="H232" t="n">
        <x:f>--AND(F232=1,D232='Calculator'!$B$4)</x:f>
        <x:v>0</x:v>
      </x:c>
      <x:c r="I232" t="n">
        <x:f>--AND(H232=1,G232=1)</x:f>
        <x:v>0</x:v>
      </x:c>
      <x:c r="J232" t="n">
        <x:f>--AND(F232=1,E232='Calculator'!$B$4)</x:f>
        <x:v>0</x:v>
      </x:c>
      <x:c r="K232" t="n">
        <x:f>--AND(J232=1,G232=1)</x:f>
        <x:v>0</x:v>
      </x:c>
      <x:c r="L232" t="str">
        <x:f>A232&amp;"/"&amp;B232&amp;"/"&amp;C232</x:f>
        <x:v>8/9/6</x:v>
      </x:c>
      <x:c r="M232" t="str">
        <x:f>MIN(15,A232+'Calculator'!$B$6)&amp;"/"&amp;MIN(15,B232+'Calculator'!$B$6)&amp;"/"&amp;MIN(15,C232+'Calculator'!$B$6)</x:f>
        <x:v>10/11/8</x:v>
      </x:c>
    </x:row>
    <x:row r="233">
      <x:c r="A233" t="n">
        <x:v>8</x:v>
      </x:c>
      <x:c r="B233" t="n">
        <x:v>9</x:v>
      </x:c>
      <x:c r="C233" t="n">
        <x:v>7</x:v>
      </x:c>
      <x:c r="D233" t="n">
        <x:f>MAX(10,ROUNDDOWN((('Calculator'!$B$10+A233)*SQRT('Calculator'!$B$11+B233)*SQRT('Calculator'!$B$12+C233)*0.59740001^2)/10,0))</x:f>
        <x:v>2258</x:v>
      </x:c>
      <x:c r="E233" t="n">
        <x:f>MAX(10,ROUNDDOWN((('Calculator'!$B$10+A233)*SQRT('Calculator'!$B$11+B233)*SQRT('Calculator'!$B$12+C233)*0.667934^2)/10,0))</x:f>
        <x:v>2823</x:v>
      </x:c>
      <x:c r="F233" t="n">
        <x:f>--AND(A233&gt;='Calculator'!$B$5,B233&gt;='Calculator'!$B$5,C233&gt;='Calculator'!$B$5)</x:f>
        <x:v>1</x:v>
      </x:c>
      <x:c r="G233" t="n">
        <x:f>--AND(A233+'Calculator'!$B$6&gt;=15,B233+'Calculator'!$B$6&gt;=15,C233+'Calculator'!$B$6&gt;=15)</x:f>
        <x:v>0</x:v>
      </x:c>
      <x:c r="H233" t="n">
        <x:f>--AND(F233=1,D233='Calculator'!$B$4)</x:f>
        <x:v>0</x:v>
      </x:c>
      <x:c r="I233" t="n">
        <x:f>--AND(H233=1,G233=1)</x:f>
        <x:v>0</x:v>
      </x:c>
      <x:c r="J233" t="n">
        <x:f>--AND(F233=1,E233='Calculator'!$B$4)</x:f>
        <x:v>0</x:v>
      </x:c>
      <x:c r="K233" t="n">
        <x:f>--AND(J233=1,G233=1)</x:f>
        <x:v>0</x:v>
      </x:c>
      <x:c r="L233" t="str">
        <x:f>A233&amp;"/"&amp;B233&amp;"/"&amp;C233</x:f>
        <x:v>8/9/7</x:v>
      </x:c>
      <x:c r="M233" t="str">
        <x:f>MIN(15,A233+'Calculator'!$B$6)&amp;"/"&amp;MIN(15,B233+'Calculator'!$B$6)&amp;"/"&amp;MIN(15,C233+'Calculator'!$B$6)</x:f>
        <x:v>10/11/9</x:v>
      </x:c>
    </x:row>
    <x:row r="234">
      <x:c r="A234" t="n">
        <x:v>8</x:v>
      </x:c>
      <x:c r="B234" t="n">
        <x:v>9</x:v>
      </x:c>
      <x:c r="C234" t="n">
        <x:v>8</x:v>
      </x:c>
      <x:c r="D234" t="n">
        <x:f>MAX(10,ROUNDDOWN((('Calculator'!$B$10+A234)*SQRT('Calculator'!$B$11+B234)*SQRT('Calculator'!$B$12+C234)*0.59740001^2)/10,0))</x:f>
        <x:v>2263</x:v>
      </x:c>
      <x:c r="E234" t="n">
        <x:f>MAX(10,ROUNDDOWN((('Calculator'!$B$10+A234)*SQRT('Calculator'!$B$11+B234)*SQRT('Calculator'!$B$12+C234)*0.667934^2)/10,0))</x:f>
        <x:v>2829</x:v>
      </x:c>
      <x:c r="F234" t="n">
        <x:f>--AND(A234&gt;='Calculator'!$B$5,B234&gt;='Calculator'!$B$5,C234&gt;='Calculator'!$B$5)</x:f>
        <x:v>1</x:v>
      </x:c>
      <x:c r="G234" t="n">
        <x:f>--AND(A234+'Calculator'!$B$6&gt;=15,B234+'Calculator'!$B$6&gt;=15,C234+'Calculator'!$B$6&gt;=15)</x:f>
        <x:v>0</x:v>
      </x:c>
      <x:c r="H234" t="n">
        <x:f>--AND(F234=1,D234='Calculator'!$B$4)</x:f>
        <x:v>0</x:v>
      </x:c>
      <x:c r="I234" t="n">
        <x:f>--AND(H234=1,G234=1)</x:f>
        <x:v>0</x:v>
      </x:c>
      <x:c r="J234" t="n">
        <x:f>--AND(F234=1,E234='Calculator'!$B$4)</x:f>
        <x:v>0</x:v>
      </x:c>
      <x:c r="K234" t="n">
        <x:f>--AND(J234=1,G234=1)</x:f>
        <x:v>0</x:v>
      </x:c>
      <x:c r="L234" t="str">
        <x:f>A234&amp;"/"&amp;B234&amp;"/"&amp;C234</x:f>
        <x:v>8/9/8</x:v>
      </x:c>
      <x:c r="M234" t="str">
        <x:f>MIN(15,A234+'Calculator'!$B$6)&amp;"/"&amp;MIN(15,B234+'Calculator'!$B$6)&amp;"/"&amp;MIN(15,C234+'Calculator'!$B$6)</x:f>
        <x:v>10/11/10</x:v>
      </x:c>
    </x:row>
    <x:row r="235">
      <x:c r="A235" t="n">
        <x:v>8</x:v>
      </x:c>
      <x:c r="B235" t="n">
        <x:v>9</x:v>
      </x:c>
      <x:c r="C235" t="n">
        <x:v>9</x:v>
      </x:c>
      <x:c r="D235" t="n">
        <x:f>MAX(10,ROUNDDOWN((('Calculator'!$B$10+A235)*SQRT('Calculator'!$B$11+B235)*SQRT('Calculator'!$B$12+C235)*0.59740001^2)/10,0))</x:f>
        <x:v>2268</x:v>
      </x:c>
      <x:c r="E235" t="n">
        <x:f>MAX(10,ROUNDDOWN((('Calculator'!$B$10+A235)*SQRT('Calculator'!$B$11+B235)*SQRT('Calculator'!$B$12+C235)*0.667934^2)/10,0))</x:f>
        <x:v>2835</x:v>
      </x:c>
      <x:c r="F235" t="n">
        <x:f>--AND(A235&gt;='Calculator'!$B$5,B235&gt;='Calculator'!$B$5,C235&gt;='Calculator'!$B$5)</x:f>
        <x:v>1</x:v>
      </x:c>
      <x:c r="G235" t="n">
        <x:f>--AND(A235+'Calculator'!$B$6&gt;=15,B235+'Calculator'!$B$6&gt;=15,C235+'Calculator'!$B$6&gt;=15)</x:f>
        <x:v>0</x:v>
      </x:c>
      <x:c r="H235" t="n">
        <x:f>--AND(F235=1,D235='Calculator'!$B$4)</x:f>
        <x:v>0</x:v>
      </x:c>
      <x:c r="I235" t="n">
        <x:f>--AND(H235=1,G235=1)</x:f>
        <x:v>0</x:v>
      </x:c>
      <x:c r="J235" t="n">
        <x:f>--AND(F235=1,E235='Calculator'!$B$4)</x:f>
        <x:v>0</x:v>
      </x:c>
      <x:c r="K235" t="n">
        <x:f>--AND(J235=1,G235=1)</x:f>
        <x:v>0</x:v>
      </x:c>
      <x:c r="L235" t="str">
        <x:f>A235&amp;"/"&amp;B235&amp;"/"&amp;C235</x:f>
        <x:v>8/9/9</x:v>
      </x:c>
      <x:c r="M235" t="str">
        <x:f>MIN(15,A235+'Calculator'!$B$6)&amp;"/"&amp;MIN(15,B235+'Calculator'!$B$6)&amp;"/"&amp;MIN(15,C235+'Calculator'!$B$6)</x:f>
        <x:v>10/11/11</x:v>
      </x:c>
    </x:row>
    <x:row r="236">
      <x:c r="A236" t="n">
        <x:v>8</x:v>
      </x:c>
      <x:c r="B236" t="n">
        <x:v>9</x:v>
      </x:c>
      <x:c r="C236" t="n">
        <x:v>10</x:v>
      </x:c>
      <x:c r="D236" t="n">
        <x:f>MAX(10,ROUNDDOWN((('Calculator'!$B$10+A236)*SQRT('Calculator'!$B$11+B236)*SQRT('Calculator'!$B$12+C236)*0.59740001^2)/10,0))</x:f>
        <x:v>2273</x:v>
      </x:c>
      <x:c r="E236" t="n">
        <x:f>MAX(10,ROUNDDOWN((('Calculator'!$B$10+A236)*SQRT('Calculator'!$B$11+B236)*SQRT('Calculator'!$B$12+C236)*0.667934^2)/10,0))</x:f>
        <x:v>2842</x:v>
      </x:c>
      <x:c r="F236" t="n">
        <x:f>--AND(A236&gt;='Calculator'!$B$5,B236&gt;='Calculator'!$B$5,C236&gt;='Calculator'!$B$5)</x:f>
        <x:v>1</x:v>
      </x:c>
      <x:c r="G236" t="n">
        <x:f>--AND(A236+'Calculator'!$B$6&gt;=15,B236+'Calculator'!$B$6&gt;=15,C236+'Calculator'!$B$6&gt;=15)</x:f>
        <x:v>0</x:v>
      </x:c>
      <x:c r="H236" t="n">
        <x:f>--AND(F236=1,D236='Calculator'!$B$4)</x:f>
        <x:v>0</x:v>
      </x:c>
      <x:c r="I236" t="n">
        <x:f>--AND(H236=1,G236=1)</x:f>
        <x:v>0</x:v>
      </x:c>
      <x:c r="J236" t="n">
        <x:f>--AND(F236=1,E236='Calculator'!$B$4)</x:f>
        <x:v>0</x:v>
      </x:c>
      <x:c r="K236" t="n">
        <x:f>--AND(J236=1,G236=1)</x:f>
        <x:v>0</x:v>
      </x:c>
      <x:c r="L236" t="str">
        <x:f>A236&amp;"/"&amp;B236&amp;"/"&amp;C236</x:f>
        <x:v>8/9/10</x:v>
      </x:c>
      <x:c r="M236" t="str">
        <x:f>MIN(15,A236+'Calculator'!$B$6)&amp;"/"&amp;MIN(15,B236+'Calculator'!$B$6)&amp;"/"&amp;MIN(15,C236+'Calculator'!$B$6)</x:f>
        <x:v>10/11/12</x:v>
      </x:c>
    </x:row>
    <x:row r="237">
      <x:c r="A237" t="n">
        <x:v>8</x:v>
      </x:c>
      <x:c r="B237" t="n">
        <x:v>9</x:v>
      </x:c>
      <x:c r="C237" t="n">
        <x:v>11</x:v>
      </x:c>
      <x:c r="D237" t="n">
        <x:f>MAX(10,ROUNDDOWN((('Calculator'!$B$10+A237)*SQRT('Calculator'!$B$11+B237)*SQRT('Calculator'!$B$12+C237)*0.59740001^2)/10,0))</x:f>
        <x:v>2278</x:v>
      </x:c>
      <x:c r="E237" t="n">
        <x:f>MAX(10,ROUNDDOWN((('Calculator'!$B$10+A237)*SQRT('Calculator'!$B$11+B237)*SQRT('Calculator'!$B$12+C237)*0.667934^2)/10,0))</x:f>
        <x:v>2848</x:v>
      </x:c>
      <x:c r="F237" t="n">
        <x:f>--AND(A237&gt;='Calculator'!$B$5,B237&gt;='Calculator'!$B$5,C237&gt;='Calculator'!$B$5)</x:f>
        <x:v>1</x:v>
      </x:c>
      <x:c r="G237" t="n">
        <x:f>--AND(A237+'Calculator'!$B$6&gt;=15,B237+'Calculator'!$B$6&gt;=15,C237+'Calculator'!$B$6&gt;=15)</x:f>
        <x:v>0</x:v>
      </x:c>
      <x:c r="H237" t="n">
        <x:f>--AND(F237=1,D237='Calculator'!$B$4)</x:f>
        <x:v>0</x:v>
      </x:c>
      <x:c r="I237" t="n">
        <x:f>--AND(H237=1,G237=1)</x:f>
        <x:v>0</x:v>
      </x:c>
      <x:c r="J237" t="n">
        <x:f>--AND(F237=1,E237='Calculator'!$B$4)</x:f>
        <x:v>0</x:v>
      </x:c>
      <x:c r="K237" t="n">
        <x:f>--AND(J237=1,G237=1)</x:f>
        <x:v>0</x:v>
      </x:c>
      <x:c r="L237" t="str">
        <x:f>A237&amp;"/"&amp;B237&amp;"/"&amp;C237</x:f>
        <x:v>8/9/11</x:v>
      </x:c>
      <x:c r="M237" t="str">
        <x:f>MIN(15,A237+'Calculator'!$B$6)&amp;"/"&amp;MIN(15,B237+'Calculator'!$B$6)&amp;"/"&amp;MIN(15,C237+'Calculator'!$B$6)</x:f>
        <x:v>10/11/13</x:v>
      </x:c>
    </x:row>
    <x:row r="238">
      <x:c r="A238" t="n">
        <x:v>8</x:v>
      </x:c>
      <x:c r="B238" t="n">
        <x:v>9</x:v>
      </x:c>
      <x:c r="C238" t="n">
        <x:v>12</x:v>
      </x:c>
      <x:c r="D238" t="n">
        <x:f>MAX(10,ROUNDDOWN((('Calculator'!$B$10+A238)*SQRT('Calculator'!$B$11+B238)*SQRT('Calculator'!$B$12+C238)*0.59740001^2)/10,0))</x:f>
        <x:v>2283</x:v>
      </x:c>
      <x:c r="E238" t="n">
        <x:f>MAX(10,ROUNDDOWN((('Calculator'!$B$10+A238)*SQRT('Calculator'!$B$11+B238)*SQRT('Calculator'!$B$12+C238)*0.667934^2)/10,0))</x:f>
        <x:v>2854</x:v>
      </x:c>
      <x:c r="F238" t="n">
        <x:f>--AND(A238&gt;='Calculator'!$B$5,B238&gt;='Calculator'!$B$5,C238&gt;='Calculator'!$B$5)</x:f>
        <x:v>1</x:v>
      </x:c>
      <x:c r="G238" t="n">
        <x:f>--AND(A238+'Calculator'!$B$6&gt;=15,B238+'Calculator'!$B$6&gt;=15,C238+'Calculator'!$B$6&gt;=15)</x:f>
        <x:v>0</x:v>
      </x:c>
      <x:c r="H238" t="n">
        <x:f>--AND(F238=1,D238='Calculator'!$B$4)</x:f>
        <x:v>0</x:v>
      </x:c>
      <x:c r="I238" t="n">
        <x:f>--AND(H238=1,G238=1)</x:f>
        <x:v>0</x:v>
      </x:c>
      <x:c r="J238" t="n">
        <x:f>--AND(F238=1,E238='Calculator'!$B$4)</x:f>
        <x:v>0</x:v>
      </x:c>
      <x:c r="K238" t="n">
        <x:f>--AND(J238=1,G238=1)</x:f>
        <x:v>0</x:v>
      </x:c>
      <x:c r="L238" t="str">
        <x:f>A238&amp;"/"&amp;B238&amp;"/"&amp;C238</x:f>
        <x:v>8/9/12</x:v>
      </x:c>
      <x:c r="M238" t="str">
        <x:f>MIN(15,A238+'Calculator'!$B$6)&amp;"/"&amp;MIN(15,B238+'Calculator'!$B$6)&amp;"/"&amp;MIN(15,C238+'Calculator'!$B$6)</x:f>
        <x:v>10/11/14</x:v>
      </x:c>
    </x:row>
    <x:row r="239">
      <x:c r="A239" t="n">
        <x:v>8</x:v>
      </x:c>
      <x:c r="B239" t="n">
        <x:v>9</x:v>
      </x:c>
      <x:c r="C239" t="n">
        <x:v>13</x:v>
      </x:c>
      <x:c r="D239" t="n">
        <x:f>MAX(10,ROUNDDOWN((('Calculator'!$B$10+A239)*SQRT('Calculator'!$B$11+B239)*SQRT('Calculator'!$B$12+C239)*0.59740001^2)/10,0))</x:f>
        <x:v>2288</x:v>
      </x:c>
      <x:c r="E239" t="n">
        <x:f>MAX(10,ROUNDDOWN((('Calculator'!$B$10+A239)*SQRT('Calculator'!$B$11+B239)*SQRT('Calculator'!$B$12+C239)*0.667934^2)/10,0))</x:f>
        <x:v>2861</x:v>
      </x:c>
      <x:c r="F239" t="n">
        <x:f>--AND(A239&gt;='Calculator'!$B$5,B239&gt;='Calculator'!$B$5,C239&gt;='Calculator'!$B$5)</x:f>
        <x:v>1</x:v>
      </x:c>
      <x:c r="G239" t="n">
        <x:f>--AND(A239+'Calculator'!$B$6&gt;=15,B239+'Calculator'!$B$6&gt;=15,C239+'Calculator'!$B$6&gt;=15)</x:f>
        <x:v>0</x:v>
      </x:c>
      <x:c r="H239" t="n">
        <x:f>--AND(F239=1,D239='Calculator'!$B$4)</x:f>
        <x:v>0</x:v>
      </x:c>
      <x:c r="I239" t="n">
        <x:f>--AND(H239=1,G239=1)</x:f>
        <x:v>0</x:v>
      </x:c>
      <x:c r="J239" t="n">
        <x:f>--AND(F239=1,E239='Calculator'!$B$4)</x:f>
        <x:v>0</x:v>
      </x:c>
      <x:c r="K239" t="n">
        <x:f>--AND(J239=1,G239=1)</x:f>
        <x:v>0</x:v>
      </x:c>
      <x:c r="L239" t="str">
        <x:f>A239&amp;"/"&amp;B239&amp;"/"&amp;C239</x:f>
        <x:v>8/9/13</x:v>
      </x:c>
      <x:c r="M239" t="str">
        <x:f>MIN(15,A239+'Calculator'!$B$6)&amp;"/"&amp;MIN(15,B239+'Calculator'!$B$6)&amp;"/"&amp;MIN(15,C239+'Calculator'!$B$6)</x:f>
        <x:v>10/11/15</x:v>
      </x:c>
    </x:row>
    <x:row r="240">
      <x:c r="A240" t="n">
        <x:v>8</x:v>
      </x:c>
      <x:c r="B240" t="n">
        <x:v>9</x:v>
      </x:c>
      <x:c r="C240" t="n">
        <x:v>14</x:v>
      </x:c>
      <x:c r="D240" t="n">
        <x:f>MAX(10,ROUNDDOWN((('Calculator'!$B$10+A240)*SQRT('Calculator'!$B$11+B240)*SQRT('Calculator'!$B$12+C240)*0.59740001^2)/10,0))</x:f>
        <x:v>2293</x:v>
      </x:c>
      <x:c r="E240" t="n">
        <x:f>MAX(10,ROUNDDOWN((('Calculator'!$B$10+A240)*SQRT('Calculator'!$B$11+B240)*SQRT('Calculator'!$B$12+C240)*0.667934^2)/10,0))</x:f>
        <x:v>2867</x:v>
      </x:c>
      <x:c r="F240" t="n">
        <x:f>--AND(A240&gt;='Calculator'!$B$5,B240&gt;='Calculator'!$B$5,C240&gt;='Calculator'!$B$5)</x:f>
        <x:v>1</x:v>
      </x:c>
      <x:c r="G240" t="n">
        <x:f>--AND(A240+'Calculator'!$B$6&gt;=15,B240+'Calculator'!$B$6&gt;=15,C240+'Calculator'!$B$6&gt;=15)</x:f>
        <x:v>0</x:v>
      </x:c>
      <x:c r="H240" t="n">
        <x:f>--AND(F240=1,D240='Calculator'!$B$4)</x:f>
        <x:v>0</x:v>
      </x:c>
      <x:c r="I240" t="n">
        <x:f>--AND(H240=1,G240=1)</x:f>
        <x:v>0</x:v>
      </x:c>
      <x:c r="J240" t="n">
        <x:f>--AND(F240=1,E240='Calculator'!$B$4)</x:f>
        <x:v>0</x:v>
      </x:c>
      <x:c r="K240" t="n">
        <x:f>--AND(J240=1,G240=1)</x:f>
        <x:v>0</x:v>
      </x:c>
      <x:c r="L240" t="str">
        <x:f>A240&amp;"/"&amp;B240&amp;"/"&amp;C240</x:f>
        <x:v>8/9/14</x:v>
      </x:c>
      <x:c r="M240" t="str">
        <x:f>MIN(15,A240+'Calculator'!$B$6)&amp;"/"&amp;MIN(15,B240+'Calculator'!$B$6)&amp;"/"&amp;MIN(15,C240+'Calculator'!$B$6)</x:f>
        <x:v>10/11/15</x:v>
      </x:c>
    </x:row>
    <x:row r="241">
      <x:c r="A241" t="n">
        <x:v>8</x:v>
      </x:c>
      <x:c r="B241" t="n">
        <x:v>9</x:v>
      </x:c>
      <x:c r="C241" t="n">
        <x:v>15</x:v>
      </x:c>
      <x:c r="D241" t="n">
        <x:f>MAX(10,ROUNDDOWN((('Calculator'!$B$10+A241)*SQRT('Calculator'!$B$11+B241)*SQRT('Calculator'!$B$12+C241)*0.59740001^2)/10,0))</x:f>
        <x:v>2298</x:v>
      </x:c>
      <x:c r="E241" t="n">
        <x:f>MAX(10,ROUNDDOWN((('Calculator'!$B$10+A241)*SQRT('Calculator'!$B$11+B241)*SQRT('Calculator'!$B$12+C241)*0.667934^2)/10,0))</x:f>
        <x:v>2873</x:v>
      </x:c>
      <x:c r="F241" t="n">
        <x:f>--AND(A241&gt;='Calculator'!$B$5,B241&gt;='Calculator'!$B$5,C241&gt;='Calculator'!$B$5)</x:f>
        <x:v>1</x:v>
      </x:c>
      <x:c r="G241" t="n">
        <x:f>--AND(A241+'Calculator'!$B$6&gt;=15,B241+'Calculator'!$B$6&gt;=15,C241+'Calculator'!$B$6&gt;=15)</x:f>
        <x:v>0</x:v>
      </x:c>
      <x:c r="H241" t="n">
        <x:f>--AND(F241=1,D241='Calculator'!$B$4)</x:f>
        <x:v>0</x:v>
      </x:c>
      <x:c r="I241" t="n">
        <x:f>--AND(H241=1,G241=1)</x:f>
        <x:v>0</x:v>
      </x:c>
      <x:c r="J241" t="n">
        <x:f>--AND(F241=1,E241='Calculator'!$B$4)</x:f>
        <x:v>0</x:v>
      </x:c>
      <x:c r="K241" t="n">
        <x:f>--AND(J241=1,G241=1)</x:f>
        <x:v>0</x:v>
      </x:c>
      <x:c r="L241" t="str">
        <x:f>A241&amp;"/"&amp;B241&amp;"/"&amp;C241</x:f>
        <x:v>8/9/15</x:v>
      </x:c>
      <x:c r="M241" t="str">
        <x:f>MIN(15,A241+'Calculator'!$B$6)&amp;"/"&amp;MIN(15,B241+'Calculator'!$B$6)&amp;"/"&amp;MIN(15,C241+'Calculator'!$B$6)</x:f>
        <x:v>10/11/15</x:v>
      </x:c>
    </x:row>
    <x:row r="242">
      <x:c r="A242" t="n">
        <x:v>8</x:v>
      </x:c>
      <x:c r="B242" t="n">
        <x:v>10</x:v>
      </x:c>
      <x:c r="C242" t="n">
        <x:v>6</x:v>
      </x:c>
      <x:c r="D242" t="n">
        <x:f>MAX(10,ROUNDDOWN((('Calculator'!$B$10+A242)*SQRT('Calculator'!$B$11+B242)*SQRT('Calculator'!$B$12+C242)*0.59740001^2)/10,0))</x:f>
        <x:v>2259</x:v>
      </x:c>
      <x:c r="E242" t="n">
        <x:f>MAX(10,ROUNDDOWN((('Calculator'!$B$10+A242)*SQRT('Calculator'!$B$11+B242)*SQRT('Calculator'!$B$12+C242)*0.667934^2)/10,0))</x:f>
        <x:v>2824</x:v>
      </x:c>
      <x:c r="F242" t="n">
        <x:f>--AND(A242&gt;='Calculator'!$B$5,B242&gt;='Calculator'!$B$5,C242&gt;='Calculator'!$B$5)</x:f>
        <x:v>1</x:v>
      </x:c>
      <x:c r="G242" t="n">
        <x:f>--AND(A242+'Calculator'!$B$6&gt;=15,B242+'Calculator'!$B$6&gt;=15,C242+'Calculator'!$B$6&gt;=15)</x:f>
        <x:v>0</x:v>
      </x:c>
      <x:c r="H242" t="n">
        <x:f>--AND(F242=1,D242='Calculator'!$B$4)</x:f>
        <x:v>0</x:v>
      </x:c>
      <x:c r="I242" t="n">
        <x:f>--AND(H242=1,G242=1)</x:f>
        <x:v>0</x:v>
      </x:c>
      <x:c r="J242" t="n">
        <x:f>--AND(F242=1,E242='Calculator'!$B$4)</x:f>
        <x:v>0</x:v>
      </x:c>
      <x:c r="K242" t="n">
        <x:f>--AND(J242=1,G242=1)</x:f>
        <x:v>0</x:v>
      </x:c>
      <x:c r="L242" t="str">
        <x:f>A242&amp;"/"&amp;B242&amp;"/"&amp;C242</x:f>
        <x:v>8/10/6</x:v>
      </x:c>
      <x:c r="M242" t="str">
        <x:f>MIN(15,A242+'Calculator'!$B$6)&amp;"/"&amp;MIN(15,B242+'Calculator'!$B$6)&amp;"/"&amp;MIN(15,C242+'Calculator'!$B$6)</x:f>
        <x:v>10/12/8</x:v>
      </x:c>
    </x:row>
    <x:row r="243">
      <x:c r="A243" t="n">
        <x:v>8</x:v>
      </x:c>
      <x:c r="B243" t="n">
        <x:v>10</x:v>
      </x:c>
      <x:c r="C243" t="n">
        <x:v>7</x:v>
      </x:c>
      <x:c r="D243" t="n">
        <x:f>MAX(10,ROUNDDOWN((('Calculator'!$B$10+A243)*SQRT('Calculator'!$B$11+B243)*SQRT('Calculator'!$B$12+C243)*0.59740001^2)/10,0))</x:f>
        <x:v>2264</x:v>
      </x:c>
      <x:c r="E243" t="n">
        <x:f>MAX(10,ROUNDDOWN((('Calculator'!$B$10+A243)*SQRT('Calculator'!$B$11+B243)*SQRT('Calculator'!$B$12+C243)*0.667934^2)/10,0))</x:f>
        <x:v>2830</x:v>
      </x:c>
      <x:c r="F243" t="n">
        <x:f>--AND(A243&gt;='Calculator'!$B$5,B243&gt;='Calculator'!$B$5,C243&gt;='Calculator'!$B$5)</x:f>
        <x:v>1</x:v>
      </x:c>
      <x:c r="G243" t="n">
        <x:f>--AND(A243+'Calculator'!$B$6&gt;=15,B243+'Calculator'!$B$6&gt;=15,C243+'Calculator'!$B$6&gt;=15)</x:f>
        <x:v>0</x:v>
      </x:c>
      <x:c r="H243" t="n">
        <x:f>--AND(F243=1,D243='Calculator'!$B$4)</x:f>
        <x:v>0</x:v>
      </x:c>
      <x:c r="I243" t="n">
        <x:f>--AND(H243=1,G243=1)</x:f>
        <x:v>0</x:v>
      </x:c>
      <x:c r="J243" t="n">
        <x:f>--AND(F243=1,E243='Calculator'!$B$4)</x:f>
        <x:v>0</x:v>
      </x:c>
      <x:c r="K243" t="n">
        <x:f>--AND(J243=1,G243=1)</x:f>
        <x:v>0</x:v>
      </x:c>
      <x:c r="L243" t="str">
        <x:f>A243&amp;"/"&amp;B243&amp;"/"&amp;C243</x:f>
        <x:v>8/10/7</x:v>
      </x:c>
      <x:c r="M243" t="str">
        <x:f>MIN(15,A243+'Calculator'!$B$6)&amp;"/"&amp;MIN(15,B243+'Calculator'!$B$6)&amp;"/"&amp;MIN(15,C243+'Calculator'!$B$6)</x:f>
        <x:v>10/12/9</x:v>
      </x:c>
    </x:row>
    <x:row r="244">
      <x:c r="A244" t="n">
        <x:v>8</x:v>
      </x:c>
      <x:c r="B244" t="n">
        <x:v>10</x:v>
      </x:c>
      <x:c r="C244" t="n">
        <x:v>8</x:v>
      </x:c>
      <x:c r="D244" t="n">
        <x:f>MAX(10,ROUNDDOWN((('Calculator'!$B$10+A244)*SQRT('Calculator'!$B$11+B244)*SQRT('Calculator'!$B$12+C244)*0.59740001^2)/10,0))</x:f>
        <x:v>2269</x:v>
      </x:c>
      <x:c r="E244" t="n">
        <x:f>MAX(10,ROUNDDOWN((('Calculator'!$B$10+A244)*SQRT('Calculator'!$B$11+B244)*SQRT('Calculator'!$B$12+C244)*0.667934^2)/10,0))</x:f>
        <x:v>2836</x:v>
      </x:c>
      <x:c r="F244" t="n">
        <x:f>--AND(A244&gt;='Calculator'!$B$5,B244&gt;='Calculator'!$B$5,C244&gt;='Calculator'!$B$5)</x:f>
        <x:v>1</x:v>
      </x:c>
      <x:c r="G244" t="n">
        <x:f>--AND(A244+'Calculator'!$B$6&gt;=15,B244+'Calculator'!$B$6&gt;=15,C244+'Calculator'!$B$6&gt;=15)</x:f>
        <x:v>0</x:v>
      </x:c>
      <x:c r="H244" t="n">
        <x:f>--AND(F244=1,D244='Calculator'!$B$4)</x:f>
        <x:v>0</x:v>
      </x:c>
      <x:c r="I244" t="n">
        <x:f>--AND(H244=1,G244=1)</x:f>
        <x:v>0</x:v>
      </x:c>
      <x:c r="J244" t="n">
        <x:f>--AND(F244=1,E244='Calculator'!$B$4)</x:f>
        <x:v>0</x:v>
      </x:c>
      <x:c r="K244" t="n">
        <x:f>--AND(J244=1,G244=1)</x:f>
        <x:v>0</x:v>
      </x:c>
      <x:c r="L244" t="str">
        <x:f>A244&amp;"/"&amp;B244&amp;"/"&amp;C244</x:f>
        <x:v>8/10/8</x:v>
      </x:c>
      <x:c r="M244" t="str">
        <x:f>MIN(15,A244+'Calculator'!$B$6)&amp;"/"&amp;MIN(15,B244+'Calculator'!$B$6)&amp;"/"&amp;MIN(15,C244+'Calculator'!$B$6)</x:f>
        <x:v>10/12/10</x:v>
      </x:c>
    </x:row>
    <x:row r="245">
      <x:c r="A245" t="n">
        <x:v>8</x:v>
      </x:c>
      <x:c r="B245" t="n">
        <x:v>10</x:v>
      </x:c>
      <x:c r="C245" t="n">
        <x:v>9</x:v>
      </x:c>
      <x:c r="D245" t="n">
        <x:f>MAX(10,ROUNDDOWN((('Calculator'!$B$10+A245)*SQRT('Calculator'!$B$11+B245)*SQRT('Calculator'!$B$12+C245)*0.59740001^2)/10,0))</x:f>
        <x:v>2274</x:v>
      </x:c>
      <x:c r="E245" t="n">
        <x:f>MAX(10,ROUNDDOWN((('Calculator'!$B$10+A245)*SQRT('Calculator'!$B$11+B245)*SQRT('Calculator'!$B$12+C245)*0.667934^2)/10,0))</x:f>
        <x:v>2843</x:v>
      </x:c>
      <x:c r="F245" t="n">
        <x:f>--AND(A245&gt;='Calculator'!$B$5,B245&gt;='Calculator'!$B$5,C245&gt;='Calculator'!$B$5)</x:f>
        <x:v>1</x:v>
      </x:c>
      <x:c r="G245" t="n">
        <x:f>--AND(A245+'Calculator'!$B$6&gt;=15,B245+'Calculator'!$B$6&gt;=15,C245+'Calculator'!$B$6&gt;=15)</x:f>
        <x:v>0</x:v>
      </x:c>
      <x:c r="H245" t="n">
        <x:f>--AND(F245=1,D245='Calculator'!$B$4)</x:f>
        <x:v>0</x:v>
      </x:c>
      <x:c r="I245" t="n">
        <x:f>--AND(H245=1,G245=1)</x:f>
        <x:v>0</x:v>
      </x:c>
      <x:c r="J245" t="n">
        <x:f>--AND(F245=1,E245='Calculator'!$B$4)</x:f>
        <x:v>0</x:v>
      </x:c>
      <x:c r="K245" t="n">
        <x:f>--AND(J245=1,G245=1)</x:f>
        <x:v>0</x:v>
      </x:c>
      <x:c r="L245" t="str">
        <x:f>A245&amp;"/"&amp;B245&amp;"/"&amp;C245</x:f>
        <x:v>8/10/9</x:v>
      </x:c>
      <x:c r="M245" t="str">
        <x:f>MIN(15,A245+'Calculator'!$B$6)&amp;"/"&amp;MIN(15,B245+'Calculator'!$B$6)&amp;"/"&amp;MIN(15,C245+'Calculator'!$B$6)</x:f>
        <x:v>10/12/11</x:v>
      </x:c>
    </x:row>
    <x:row r="246">
      <x:c r="A246" t="n">
        <x:v>8</x:v>
      </x:c>
      <x:c r="B246" t="n">
        <x:v>10</x:v>
      </x:c>
      <x:c r="C246" t="n">
        <x:v>10</x:v>
      </x:c>
      <x:c r="D246" t="n">
        <x:f>MAX(10,ROUNDDOWN((('Calculator'!$B$10+A246)*SQRT('Calculator'!$B$11+B246)*SQRT('Calculator'!$B$12+C246)*0.59740001^2)/10,0))</x:f>
        <x:v>2279</x:v>
      </x:c>
      <x:c r="E246" t="n">
        <x:f>MAX(10,ROUNDDOWN((('Calculator'!$B$10+A246)*SQRT('Calculator'!$B$11+B246)*SQRT('Calculator'!$B$12+C246)*0.667934^2)/10,0))</x:f>
        <x:v>2849</x:v>
      </x:c>
      <x:c r="F246" t="n">
        <x:f>--AND(A246&gt;='Calculator'!$B$5,B246&gt;='Calculator'!$B$5,C246&gt;='Calculator'!$B$5)</x:f>
        <x:v>1</x:v>
      </x:c>
      <x:c r="G246" t="n">
        <x:f>--AND(A246+'Calculator'!$B$6&gt;=15,B246+'Calculator'!$B$6&gt;=15,C246+'Calculator'!$B$6&gt;=15)</x:f>
        <x:v>0</x:v>
      </x:c>
      <x:c r="H246" t="n">
        <x:f>--AND(F246=1,D246='Calculator'!$B$4)</x:f>
        <x:v>0</x:v>
      </x:c>
      <x:c r="I246" t="n">
        <x:f>--AND(H246=1,G246=1)</x:f>
        <x:v>0</x:v>
      </x:c>
      <x:c r="J246" t="n">
        <x:f>--AND(F246=1,E246='Calculator'!$B$4)</x:f>
        <x:v>0</x:v>
      </x:c>
      <x:c r="K246" t="n">
        <x:f>--AND(J246=1,G246=1)</x:f>
        <x:v>0</x:v>
      </x:c>
      <x:c r="L246" t="str">
        <x:f>A246&amp;"/"&amp;B246&amp;"/"&amp;C246</x:f>
        <x:v>8/10/10</x:v>
      </x:c>
      <x:c r="M246" t="str">
        <x:f>MIN(15,A246+'Calculator'!$B$6)&amp;"/"&amp;MIN(15,B246+'Calculator'!$B$6)&amp;"/"&amp;MIN(15,C246+'Calculator'!$B$6)</x:f>
        <x:v>10/12/12</x:v>
      </x:c>
    </x:row>
    <x:row r="247">
      <x:c r="A247" t="n">
        <x:v>8</x:v>
      </x:c>
      <x:c r="B247" t="n">
        <x:v>10</x:v>
      </x:c>
      <x:c r="C247" t="n">
        <x:v>11</x:v>
      </x:c>
      <x:c r="D247" t="n">
        <x:f>MAX(10,ROUNDDOWN((('Calculator'!$B$10+A247)*SQRT('Calculator'!$B$11+B247)*SQRT('Calculator'!$B$12+C247)*0.59740001^2)/10,0))</x:f>
        <x:v>2284</x:v>
      </x:c>
      <x:c r="E247" t="n">
        <x:f>MAX(10,ROUNDDOWN((('Calculator'!$B$10+A247)*SQRT('Calculator'!$B$11+B247)*SQRT('Calculator'!$B$12+C247)*0.667934^2)/10,0))</x:f>
        <x:v>2856</x:v>
      </x:c>
      <x:c r="F247" t="n">
        <x:f>--AND(A247&gt;='Calculator'!$B$5,B247&gt;='Calculator'!$B$5,C247&gt;='Calculator'!$B$5)</x:f>
        <x:v>1</x:v>
      </x:c>
      <x:c r="G247" t="n">
        <x:f>--AND(A247+'Calculator'!$B$6&gt;=15,B247+'Calculator'!$B$6&gt;=15,C247+'Calculator'!$B$6&gt;=15)</x:f>
        <x:v>0</x:v>
      </x:c>
      <x:c r="H247" t="n">
        <x:f>--AND(F247=1,D247='Calculator'!$B$4)</x:f>
        <x:v>0</x:v>
      </x:c>
      <x:c r="I247" t="n">
        <x:f>--AND(H247=1,G247=1)</x:f>
        <x:v>0</x:v>
      </x:c>
      <x:c r="J247" t="n">
        <x:f>--AND(F247=1,E247='Calculator'!$B$4)</x:f>
        <x:v>0</x:v>
      </x:c>
      <x:c r="K247" t="n">
        <x:f>--AND(J247=1,G247=1)</x:f>
        <x:v>0</x:v>
      </x:c>
      <x:c r="L247" t="str">
        <x:f>A247&amp;"/"&amp;B247&amp;"/"&amp;C247</x:f>
        <x:v>8/10/11</x:v>
      </x:c>
      <x:c r="M247" t="str">
        <x:f>MIN(15,A247+'Calculator'!$B$6)&amp;"/"&amp;MIN(15,B247+'Calculator'!$B$6)&amp;"/"&amp;MIN(15,C247+'Calculator'!$B$6)</x:f>
        <x:v>10/12/13</x:v>
      </x:c>
    </x:row>
    <x:row r="248">
      <x:c r="A248" t="n">
        <x:v>8</x:v>
      </x:c>
      <x:c r="B248" t="n">
        <x:v>10</x:v>
      </x:c>
      <x:c r="C248" t="n">
        <x:v>12</x:v>
      </x:c>
      <x:c r="D248" t="n">
        <x:f>MAX(10,ROUNDDOWN((('Calculator'!$B$10+A248)*SQRT('Calculator'!$B$11+B248)*SQRT('Calculator'!$B$12+C248)*0.59740001^2)/10,0))</x:f>
        <x:v>2289</x:v>
      </x:c>
      <x:c r="E248" t="n">
        <x:f>MAX(10,ROUNDDOWN((('Calculator'!$B$10+A248)*SQRT('Calculator'!$B$11+B248)*SQRT('Calculator'!$B$12+C248)*0.667934^2)/10,0))</x:f>
        <x:v>2862</x:v>
      </x:c>
      <x:c r="F248" t="n">
        <x:f>--AND(A248&gt;='Calculator'!$B$5,B248&gt;='Calculator'!$B$5,C248&gt;='Calculator'!$B$5)</x:f>
        <x:v>1</x:v>
      </x:c>
      <x:c r="G248" t="n">
        <x:f>--AND(A248+'Calculator'!$B$6&gt;=15,B248+'Calculator'!$B$6&gt;=15,C248+'Calculator'!$B$6&gt;=15)</x:f>
        <x:v>0</x:v>
      </x:c>
      <x:c r="H248" t="n">
        <x:f>--AND(F248=1,D248='Calculator'!$B$4)</x:f>
        <x:v>0</x:v>
      </x:c>
      <x:c r="I248" t="n">
        <x:f>--AND(H248=1,G248=1)</x:f>
        <x:v>0</x:v>
      </x:c>
      <x:c r="J248" t="n">
        <x:f>--AND(F248=1,E248='Calculator'!$B$4)</x:f>
        <x:v>0</x:v>
      </x:c>
      <x:c r="K248" t="n">
        <x:f>--AND(J248=1,G248=1)</x:f>
        <x:v>0</x:v>
      </x:c>
      <x:c r="L248" t="str">
        <x:f>A248&amp;"/"&amp;B248&amp;"/"&amp;C248</x:f>
        <x:v>8/10/12</x:v>
      </x:c>
      <x:c r="M248" t="str">
        <x:f>MIN(15,A248+'Calculator'!$B$6)&amp;"/"&amp;MIN(15,B248+'Calculator'!$B$6)&amp;"/"&amp;MIN(15,C248+'Calculator'!$B$6)</x:f>
        <x:v>10/12/14</x:v>
      </x:c>
    </x:row>
    <x:row r="249">
      <x:c r="A249" t="n">
        <x:v>8</x:v>
      </x:c>
      <x:c r="B249" t="n">
        <x:v>10</x:v>
      </x:c>
      <x:c r="C249" t="n">
        <x:v>13</x:v>
      </x:c>
      <x:c r="D249" t="n">
        <x:f>MAX(10,ROUNDDOWN((('Calculator'!$B$10+A249)*SQRT('Calculator'!$B$11+B249)*SQRT('Calculator'!$B$12+C249)*0.59740001^2)/10,0))</x:f>
        <x:v>2294</x:v>
      </x:c>
      <x:c r="E249" t="n">
        <x:f>MAX(10,ROUNDDOWN((('Calculator'!$B$10+A249)*SQRT('Calculator'!$B$11+B249)*SQRT('Calculator'!$B$12+C249)*0.667934^2)/10,0))</x:f>
        <x:v>2868</x:v>
      </x:c>
      <x:c r="F249" t="n">
        <x:f>--AND(A249&gt;='Calculator'!$B$5,B249&gt;='Calculator'!$B$5,C249&gt;='Calculator'!$B$5)</x:f>
        <x:v>1</x:v>
      </x:c>
      <x:c r="G249" t="n">
        <x:f>--AND(A249+'Calculator'!$B$6&gt;=15,B249+'Calculator'!$B$6&gt;=15,C249+'Calculator'!$B$6&gt;=15)</x:f>
        <x:v>0</x:v>
      </x:c>
      <x:c r="H249" t="n">
        <x:f>--AND(F249=1,D249='Calculator'!$B$4)</x:f>
        <x:v>0</x:v>
      </x:c>
      <x:c r="I249" t="n">
        <x:f>--AND(H249=1,G249=1)</x:f>
        <x:v>0</x:v>
      </x:c>
      <x:c r="J249" t="n">
        <x:f>--AND(F249=1,E249='Calculator'!$B$4)</x:f>
        <x:v>0</x:v>
      </x:c>
      <x:c r="K249" t="n">
        <x:f>--AND(J249=1,G249=1)</x:f>
        <x:v>0</x:v>
      </x:c>
      <x:c r="L249" t="str">
        <x:f>A249&amp;"/"&amp;B249&amp;"/"&amp;C249</x:f>
        <x:v>8/10/13</x:v>
      </x:c>
      <x:c r="M249" t="str">
        <x:f>MIN(15,A249+'Calculator'!$B$6)&amp;"/"&amp;MIN(15,B249+'Calculator'!$B$6)&amp;"/"&amp;MIN(15,C249+'Calculator'!$B$6)</x:f>
        <x:v>10/12/15</x:v>
      </x:c>
    </x:row>
    <x:row r="250">
      <x:c r="A250" t="n">
        <x:v>8</x:v>
      </x:c>
      <x:c r="B250" t="n">
        <x:v>10</x:v>
      </x:c>
      <x:c r="C250" t="n">
        <x:v>14</x:v>
      </x:c>
      <x:c r="D250" t="n">
        <x:f>MAX(10,ROUNDDOWN((('Calculator'!$B$10+A250)*SQRT('Calculator'!$B$11+B250)*SQRT('Calculator'!$B$12+C250)*0.59740001^2)/10,0))</x:f>
        <x:v>2299</x:v>
      </x:c>
      <x:c r="E250" t="n">
        <x:f>MAX(10,ROUNDDOWN((('Calculator'!$B$10+A250)*SQRT('Calculator'!$B$11+B250)*SQRT('Calculator'!$B$12+C250)*0.667934^2)/10,0))</x:f>
        <x:v>2874</x:v>
      </x:c>
      <x:c r="F250" t="n">
        <x:f>--AND(A250&gt;='Calculator'!$B$5,B250&gt;='Calculator'!$B$5,C250&gt;='Calculator'!$B$5)</x:f>
        <x:v>1</x:v>
      </x:c>
      <x:c r="G250" t="n">
        <x:f>--AND(A250+'Calculator'!$B$6&gt;=15,B250+'Calculator'!$B$6&gt;=15,C250+'Calculator'!$B$6&gt;=15)</x:f>
        <x:v>0</x:v>
      </x:c>
      <x:c r="H250" t="n">
        <x:f>--AND(F250=1,D250='Calculator'!$B$4)</x:f>
        <x:v>0</x:v>
      </x:c>
      <x:c r="I250" t="n">
        <x:f>--AND(H250=1,G250=1)</x:f>
        <x:v>0</x:v>
      </x:c>
      <x:c r="J250" t="n">
        <x:f>--AND(F250=1,E250='Calculator'!$B$4)</x:f>
        <x:v>0</x:v>
      </x:c>
      <x:c r="K250" t="n">
        <x:f>--AND(J250=1,G250=1)</x:f>
        <x:v>0</x:v>
      </x:c>
      <x:c r="L250" t="str">
        <x:f>A250&amp;"/"&amp;B250&amp;"/"&amp;C250</x:f>
        <x:v>8/10/14</x:v>
      </x:c>
      <x:c r="M250" t="str">
        <x:f>MIN(15,A250+'Calculator'!$B$6)&amp;"/"&amp;MIN(15,B250+'Calculator'!$B$6)&amp;"/"&amp;MIN(15,C250+'Calculator'!$B$6)</x:f>
        <x:v>10/12/15</x:v>
      </x:c>
    </x:row>
    <x:row r="251">
      <x:c r="A251" t="n">
        <x:v>8</x:v>
      </x:c>
      <x:c r="B251" t="n">
        <x:v>10</x:v>
      </x:c>
      <x:c r="C251" t="n">
        <x:v>15</x:v>
      </x:c>
      <x:c r="D251" t="n">
        <x:f>MAX(10,ROUNDDOWN((('Calculator'!$B$10+A251)*SQRT('Calculator'!$B$11+B251)*SQRT('Calculator'!$B$12+C251)*0.59740001^2)/10,0))</x:f>
        <x:v>2304</x:v>
      </x:c>
      <x:c r="E251" t="n">
        <x:f>MAX(10,ROUNDDOWN((('Calculator'!$B$10+A251)*SQRT('Calculator'!$B$11+B251)*SQRT('Calculator'!$B$12+C251)*0.667934^2)/10,0))</x:f>
        <x:v>2881</x:v>
      </x:c>
      <x:c r="F251" t="n">
        <x:f>--AND(A251&gt;='Calculator'!$B$5,B251&gt;='Calculator'!$B$5,C251&gt;='Calculator'!$B$5)</x:f>
        <x:v>1</x:v>
      </x:c>
      <x:c r="G251" t="n">
        <x:f>--AND(A251+'Calculator'!$B$6&gt;=15,B251+'Calculator'!$B$6&gt;=15,C251+'Calculator'!$B$6&gt;=15)</x:f>
        <x:v>0</x:v>
      </x:c>
      <x:c r="H251" t="n">
        <x:f>--AND(F251=1,D251='Calculator'!$B$4)</x:f>
        <x:v>0</x:v>
      </x:c>
      <x:c r="I251" t="n">
        <x:f>--AND(H251=1,G251=1)</x:f>
        <x:v>0</x:v>
      </x:c>
      <x:c r="J251" t="n">
        <x:f>--AND(F251=1,E251='Calculator'!$B$4)</x:f>
        <x:v>0</x:v>
      </x:c>
      <x:c r="K251" t="n">
        <x:f>--AND(J251=1,G251=1)</x:f>
        <x:v>0</x:v>
      </x:c>
      <x:c r="L251" t="str">
        <x:f>A251&amp;"/"&amp;B251&amp;"/"&amp;C251</x:f>
        <x:v>8/10/15</x:v>
      </x:c>
      <x:c r="M251" t="str">
        <x:f>MIN(15,A251+'Calculator'!$B$6)&amp;"/"&amp;MIN(15,B251+'Calculator'!$B$6)&amp;"/"&amp;MIN(15,C251+'Calculator'!$B$6)</x:f>
        <x:v>10/12/15</x:v>
      </x:c>
    </x:row>
    <x:row r="252">
      <x:c r="A252" t="n">
        <x:v>8</x:v>
      </x:c>
      <x:c r="B252" t="n">
        <x:v>11</x:v>
      </x:c>
      <x:c r="C252" t="n">
        <x:v>6</x:v>
      </x:c>
      <x:c r="D252" t="n">
        <x:f>MAX(10,ROUNDDOWN((('Calculator'!$B$10+A252)*SQRT('Calculator'!$B$11+B252)*SQRT('Calculator'!$B$12+C252)*0.59740001^2)/10,0))</x:f>
        <x:v>2265</x:v>
      </x:c>
      <x:c r="E252" t="n">
        <x:f>MAX(10,ROUNDDOWN((('Calculator'!$B$10+A252)*SQRT('Calculator'!$B$11+B252)*SQRT('Calculator'!$B$12+C252)*0.667934^2)/10,0))</x:f>
        <x:v>2831</x:v>
      </x:c>
      <x:c r="F252" t="n">
        <x:f>--AND(A252&gt;='Calculator'!$B$5,B252&gt;='Calculator'!$B$5,C252&gt;='Calculator'!$B$5)</x:f>
        <x:v>1</x:v>
      </x:c>
      <x:c r="G252" t="n">
        <x:f>--AND(A252+'Calculator'!$B$6&gt;=15,B252+'Calculator'!$B$6&gt;=15,C252+'Calculator'!$B$6&gt;=15)</x:f>
        <x:v>0</x:v>
      </x:c>
      <x:c r="H252" t="n">
        <x:f>--AND(F252=1,D252='Calculator'!$B$4)</x:f>
        <x:v>0</x:v>
      </x:c>
      <x:c r="I252" t="n">
        <x:f>--AND(H252=1,G252=1)</x:f>
        <x:v>0</x:v>
      </x:c>
      <x:c r="J252" t="n">
        <x:f>--AND(F252=1,E252='Calculator'!$B$4)</x:f>
        <x:v>0</x:v>
      </x:c>
      <x:c r="K252" t="n">
        <x:f>--AND(J252=1,G252=1)</x:f>
        <x:v>0</x:v>
      </x:c>
      <x:c r="L252" t="str">
        <x:f>A252&amp;"/"&amp;B252&amp;"/"&amp;C252</x:f>
        <x:v>8/11/6</x:v>
      </x:c>
      <x:c r="M252" t="str">
        <x:f>MIN(15,A252+'Calculator'!$B$6)&amp;"/"&amp;MIN(15,B252+'Calculator'!$B$6)&amp;"/"&amp;MIN(15,C252+'Calculator'!$B$6)</x:f>
        <x:v>10/13/8</x:v>
      </x:c>
    </x:row>
    <x:row r="253">
      <x:c r="A253" t="n">
        <x:v>8</x:v>
      </x:c>
      <x:c r="B253" t="n">
        <x:v>11</x:v>
      </x:c>
      <x:c r="C253" t="n">
        <x:v>7</x:v>
      </x:c>
      <x:c r="D253" t="n">
        <x:f>MAX(10,ROUNDDOWN((('Calculator'!$B$10+A253)*SQRT('Calculator'!$B$11+B253)*SQRT('Calculator'!$B$12+C253)*0.59740001^2)/10,0))</x:f>
        <x:v>2270</x:v>
      </x:c>
      <x:c r="E253" t="n">
        <x:f>MAX(10,ROUNDDOWN((('Calculator'!$B$10+A253)*SQRT('Calculator'!$B$11+B253)*SQRT('Calculator'!$B$12+C253)*0.667934^2)/10,0))</x:f>
        <x:v>2837</x:v>
      </x:c>
      <x:c r="F253" t="n">
        <x:f>--AND(A253&gt;='Calculator'!$B$5,B253&gt;='Calculator'!$B$5,C253&gt;='Calculator'!$B$5)</x:f>
        <x:v>1</x:v>
      </x:c>
      <x:c r="G253" t="n">
        <x:f>--AND(A253+'Calculator'!$B$6&gt;=15,B253+'Calculator'!$B$6&gt;=15,C253+'Calculator'!$B$6&gt;=15)</x:f>
        <x:v>0</x:v>
      </x:c>
      <x:c r="H253" t="n">
        <x:f>--AND(F253=1,D253='Calculator'!$B$4)</x:f>
        <x:v>0</x:v>
      </x:c>
      <x:c r="I253" t="n">
        <x:f>--AND(H253=1,G253=1)</x:f>
        <x:v>0</x:v>
      </x:c>
      <x:c r="J253" t="n">
        <x:f>--AND(F253=1,E253='Calculator'!$B$4)</x:f>
        <x:v>0</x:v>
      </x:c>
      <x:c r="K253" t="n">
        <x:f>--AND(J253=1,G253=1)</x:f>
        <x:v>0</x:v>
      </x:c>
      <x:c r="L253" t="str">
        <x:f>A253&amp;"/"&amp;B253&amp;"/"&amp;C253</x:f>
        <x:v>8/11/7</x:v>
      </x:c>
      <x:c r="M253" t="str">
        <x:f>MIN(15,A253+'Calculator'!$B$6)&amp;"/"&amp;MIN(15,B253+'Calculator'!$B$6)&amp;"/"&amp;MIN(15,C253+'Calculator'!$B$6)</x:f>
        <x:v>10/13/9</x:v>
      </x:c>
    </x:row>
    <x:row r="254">
      <x:c r="A254" t="n">
        <x:v>8</x:v>
      </x:c>
      <x:c r="B254" t="n">
        <x:v>11</x:v>
      </x:c>
      <x:c r="C254" t="n">
        <x:v>8</x:v>
      </x:c>
      <x:c r="D254" t="n">
        <x:f>MAX(10,ROUNDDOWN((('Calculator'!$B$10+A254)*SQRT('Calculator'!$B$11+B254)*SQRT('Calculator'!$B$12+C254)*0.59740001^2)/10,0))</x:f>
        <x:v>2275</x:v>
      </x:c>
      <x:c r="E254" t="n">
        <x:f>MAX(10,ROUNDDOWN((('Calculator'!$B$10+A254)*SQRT('Calculator'!$B$11+B254)*SQRT('Calculator'!$B$12+C254)*0.667934^2)/10,0))</x:f>
        <x:v>2844</x:v>
      </x:c>
      <x:c r="F254" t="n">
        <x:f>--AND(A254&gt;='Calculator'!$B$5,B254&gt;='Calculator'!$B$5,C254&gt;='Calculator'!$B$5)</x:f>
        <x:v>1</x:v>
      </x:c>
      <x:c r="G254" t="n">
        <x:f>--AND(A254+'Calculator'!$B$6&gt;=15,B254+'Calculator'!$B$6&gt;=15,C254+'Calculator'!$B$6&gt;=15)</x:f>
        <x:v>0</x:v>
      </x:c>
      <x:c r="H254" t="n">
        <x:f>--AND(F254=1,D254='Calculator'!$B$4)</x:f>
        <x:v>0</x:v>
      </x:c>
      <x:c r="I254" t="n">
        <x:f>--AND(H254=1,G254=1)</x:f>
        <x:v>0</x:v>
      </x:c>
      <x:c r="J254" t="n">
        <x:f>--AND(F254=1,E254='Calculator'!$B$4)</x:f>
        <x:v>0</x:v>
      </x:c>
      <x:c r="K254" t="n">
        <x:f>--AND(J254=1,G254=1)</x:f>
        <x:v>0</x:v>
      </x:c>
      <x:c r="L254" t="str">
        <x:f>A254&amp;"/"&amp;B254&amp;"/"&amp;C254</x:f>
        <x:v>8/11/8</x:v>
      </x:c>
      <x:c r="M254" t="str">
        <x:f>MIN(15,A254+'Calculator'!$B$6)&amp;"/"&amp;MIN(15,B254+'Calculator'!$B$6)&amp;"/"&amp;MIN(15,C254+'Calculator'!$B$6)</x:f>
        <x:v>10/13/10</x:v>
      </x:c>
    </x:row>
    <x:row r="255">
      <x:c r="A255" t="n">
        <x:v>8</x:v>
      </x:c>
      <x:c r="B255" t="n">
        <x:v>11</x:v>
      </x:c>
      <x:c r="C255" t="n">
        <x:v>9</x:v>
      </x:c>
      <x:c r="D255" t="n">
        <x:f>MAX(10,ROUNDDOWN((('Calculator'!$B$10+A255)*SQRT('Calculator'!$B$11+B255)*SQRT('Calculator'!$B$12+C255)*0.59740001^2)/10,0))</x:f>
        <x:v>2280</x:v>
      </x:c>
      <x:c r="E255" t="n">
        <x:f>MAX(10,ROUNDDOWN((('Calculator'!$B$10+A255)*SQRT('Calculator'!$B$11+B255)*SQRT('Calculator'!$B$12+C255)*0.667934^2)/10,0))</x:f>
        <x:v>2850</x:v>
      </x:c>
      <x:c r="F255" t="n">
        <x:f>--AND(A255&gt;='Calculator'!$B$5,B255&gt;='Calculator'!$B$5,C255&gt;='Calculator'!$B$5)</x:f>
        <x:v>1</x:v>
      </x:c>
      <x:c r="G255" t="n">
        <x:f>--AND(A255+'Calculator'!$B$6&gt;=15,B255+'Calculator'!$B$6&gt;=15,C255+'Calculator'!$B$6&gt;=15)</x:f>
        <x:v>0</x:v>
      </x:c>
      <x:c r="H255" t="n">
        <x:f>--AND(F255=1,D255='Calculator'!$B$4)</x:f>
        <x:v>0</x:v>
      </x:c>
      <x:c r="I255" t="n">
        <x:f>--AND(H255=1,G255=1)</x:f>
        <x:v>0</x:v>
      </x:c>
      <x:c r="J255" t="n">
        <x:f>--AND(F255=1,E255='Calculator'!$B$4)</x:f>
        <x:v>0</x:v>
      </x:c>
      <x:c r="K255" t="n">
        <x:f>--AND(J255=1,G255=1)</x:f>
        <x:v>0</x:v>
      </x:c>
      <x:c r="L255" t="str">
        <x:f>A255&amp;"/"&amp;B255&amp;"/"&amp;C255</x:f>
        <x:v>8/11/9</x:v>
      </x:c>
      <x:c r="M255" t="str">
        <x:f>MIN(15,A255+'Calculator'!$B$6)&amp;"/"&amp;MIN(15,B255+'Calculator'!$B$6)&amp;"/"&amp;MIN(15,C255+'Calculator'!$B$6)</x:f>
        <x:v>10/13/11</x:v>
      </x:c>
    </x:row>
    <x:row r="256">
      <x:c r="A256" t="n">
        <x:v>8</x:v>
      </x:c>
      <x:c r="B256" t="n">
        <x:v>11</x:v>
      </x:c>
      <x:c r="C256" t="n">
        <x:v>10</x:v>
      </x:c>
      <x:c r="D256" t="n">
        <x:f>MAX(10,ROUNDDOWN((('Calculator'!$B$10+A256)*SQRT('Calculator'!$B$11+B256)*SQRT('Calculator'!$B$12+C256)*0.59740001^2)/10,0))</x:f>
        <x:v>2285</x:v>
      </x:c>
      <x:c r="E256" t="n">
        <x:f>MAX(10,ROUNDDOWN((('Calculator'!$B$10+A256)*SQRT('Calculator'!$B$11+B256)*SQRT('Calculator'!$B$12+C256)*0.667934^2)/10,0))</x:f>
        <x:v>2857</x:v>
      </x:c>
      <x:c r="F256" t="n">
        <x:f>--AND(A256&gt;='Calculator'!$B$5,B256&gt;='Calculator'!$B$5,C256&gt;='Calculator'!$B$5)</x:f>
        <x:v>1</x:v>
      </x:c>
      <x:c r="G256" t="n">
        <x:f>--AND(A256+'Calculator'!$B$6&gt;=15,B256+'Calculator'!$B$6&gt;=15,C256+'Calculator'!$B$6&gt;=15)</x:f>
        <x:v>0</x:v>
      </x:c>
      <x:c r="H256" t="n">
        <x:f>--AND(F256=1,D256='Calculator'!$B$4)</x:f>
        <x:v>0</x:v>
      </x:c>
      <x:c r="I256" t="n">
        <x:f>--AND(H256=1,G256=1)</x:f>
        <x:v>0</x:v>
      </x:c>
      <x:c r="J256" t="n">
        <x:f>--AND(F256=1,E256='Calculator'!$B$4)</x:f>
        <x:v>0</x:v>
      </x:c>
      <x:c r="K256" t="n">
        <x:f>--AND(J256=1,G256=1)</x:f>
        <x:v>0</x:v>
      </x:c>
      <x:c r="L256" t="str">
        <x:f>A256&amp;"/"&amp;B256&amp;"/"&amp;C256</x:f>
        <x:v>8/11/10</x:v>
      </x:c>
      <x:c r="M256" t="str">
        <x:f>MIN(15,A256+'Calculator'!$B$6)&amp;"/"&amp;MIN(15,B256+'Calculator'!$B$6)&amp;"/"&amp;MIN(15,C256+'Calculator'!$B$6)</x:f>
        <x:v>10/13/12</x:v>
      </x:c>
    </x:row>
    <x:row r="257">
      <x:c r="A257" t="n">
        <x:v>8</x:v>
      </x:c>
      <x:c r="B257" t="n">
        <x:v>11</x:v>
      </x:c>
      <x:c r="C257" t="n">
        <x:v>11</x:v>
      </x:c>
      <x:c r="D257" t="n">
        <x:f>MAX(10,ROUNDDOWN((('Calculator'!$B$10+A257)*SQRT('Calculator'!$B$11+B257)*SQRT('Calculator'!$B$12+C257)*0.59740001^2)/10,0))</x:f>
        <x:v>2290</x:v>
      </x:c>
      <x:c r="E257" t="n">
        <x:f>MAX(10,ROUNDDOWN((('Calculator'!$B$10+A257)*SQRT('Calculator'!$B$11+B257)*SQRT('Calculator'!$B$12+C257)*0.667934^2)/10,0))</x:f>
        <x:v>2863</x:v>
      </x:c>
      <x:c r="F257" t="n">
        <x:f>--AND(A257&gt;='Calculator'!$B$5,B257&gt;='Calculator'!$B$5,C257&gt;='Calculator'!$B$5)</x:f>
        <x:v>1</x:v>
      </x:c>
      <x:c r="G257" t="n">
        <x:f>--AND(A257+'Calculator'!$B$6&gt;=15,B257+'Calculator'!$B$6&gt;=15,C257+'Calculator'!$B$6&gt;=15)</x:f>
        <x:v>0</x:v>
      </x:c>
      <x:c r="H257" t="n">
        <x:f>--AND(F257=1,D257='Calculator'!$B$4)</x:f>
        <x:v>0</x:v>
      </x:c>
      <x:c r="I257" t="n">
        <x:f>--AND(H257=1,G257=1)</x:f>
        <x:v>0</x:v>
      </x:c>
      <x:c r="J257" t="n">
        <x:f>--AND(F257=1,E257='Calculator'!$B$4)</x:f>
        <x:v>0</x:v>
      </x:c>
      <x:c r="K257" t="n">
        <x:f>--AND(J257=1,G257=1)</x:f>
        <x:v>0</x:v>
      </x:c>
      <x:c r="L257" t="str">
        <x:f>A257&amp;"/"&amp;B257&amp;"/"&amp;C257</x:f>
        <x:v>8/11/11</x:v>
      </x:c>
      <x:c r="M257" t="str">
        <x:f>MIN(15,A257+'Calculator'!$B$6)&amp;"/"&amp;MIN(15,B257+'Calculator'!$B$6)&amp;"/"&amp;MIN(15,C257+'Calculator'!$B$6)</x:f>
        <x:v>10/13/13</x:v>
      </x:c>
    </x:row>
    <x:row r="258">
      <x:c r="A258" t="n">
        <x:v>8</x:v>
      </x:c>
      <x:c r="B258" t="n">
        <x:v>11</x:v>
      </x:c>
      <x:c r="C258" t="n">
        <x:v>12</x:v>
      </x:c>
      <x:c r="D258" t="n">
        <x:f>MAX(10,ROUNDDOWN((('Calculator'!$B$10+A258)*SQRT('Calculator'!$B$11+B258)*SQRT('Calculator'!$B$12+C258)*0.59740001^2)/10,0))</x:f>
        <x:v>2295</x:v>
      </x:c>
      <x:c r="E258" t="n">
        <x:f>MAX(10,ROUNDDOWN((('Calculator'!$B$10+A258)*SQRT('Calculator'!$B$11+B258)*SQRT('Calculator'!$B$12+C258)*0.667934^2)/10,0))</x:f>
        <x:v>2869</x:v>
      </x:c>
      <x:c r="F258" t="n">
        <x:f>--AND(A258&gt;='Calculator'!$B$5,B258&gt;='Calculator'!$B$5,C258&gt;='Calculator'!$B$5)</x:f>
        <x:v>1</x:v>
      </x:c>
      <x:c r="G258" t="n">
        <x:f>--AND(A258+'Calculator'!$B$6&gt;=15,B258+'Calculator'!$B$6&gt;=15,C258+'Calculator'!$B$6&gt;=15)</x:f>
        <x:v>0</x:v>
      </x:c>
      <x:c r="H258" t="n">
        <x:f>--AND(F258=1,D258='Calculator'!$B$4)</x:f>
        <x:v>0</x:v>
      </x:c>
      <x:c r="I258" t="n">
        <x:f>--AND(H258=1,G258=1)</x:f>
        <x:v>0</x:v>
      </x:c>
      <x:c r="J258" t="n">
        <x:f>--AND(F258=1,E258='Calculator'!$B$4)</x:f>
        <x:v>0</x:v>
      </x:c>
      <x:c r="K258" t="n">
        <x:f>--AND(J258=1,G258=1)</x:f>
        <x:v>0</x:v>
      </x:c>
      <x:c r="L258" t="str">
        <x:f>A258&amp;"/"&amp;B258&amp;"/"&amp;C258</x:f>
        <x:v>8/11/12</x:v>
      </x:c>
      <x:c r="M258" t="str">
        <x:f>MIN(15,A258+'Calculator'!$B$6)&amp;"/"&amp;MIN(15,B258+'Calculator'!$B$6)&amp;"/"&amp;MIN(15,C258+'Calculator'!$B$6)</x:f>
        <x:v>10/13/14</x:v>
      </x:c>
    </x:row>
    <x:row r="259">
      <x:c r="A259" t="n">
        <x:v>8</x:v>
      </x:c>
      <x:c r="B259" t="n">
        <x:v>11</x:v>
      </x:c>
      <x:c r="C259" t="n">
        <x:v>13</x:v>
      </x:c>
      <x:c r="D259" t="n">
        <x:f>MAX(10,ROUNDDOWN((('Calculator'!$B$10+A259)*SQRT('Calculator'!$B$11+B259)*SQRT('Calculator'!$B$12+C259)*0.59740001^2)/10,0))</x:f>
        <x:v>2300</x:v>
      </x:c>
      <x:c r="E259" t="n">
        <x:f>MAX(10,ROUNDDOWN((('Calculator'!$B$10+A259)*SQRT('Calculator'!$B$11+B259)*SQRT('Calculator'!$B$12+C259)*0.667934^2)/10,0))</x:f>
        <x:v>2876</x:v>
      </x:c>
      <x:c r="F259" t="n">
        <x:f>--AND(A259&gt;='Calculator'!$B$5,B259&gt;='Calculator'!$B$5,C259&gt;='Calculator'!$B$5)</x:f>
        <x:v>1</x:v>
      </x:c>
      <x:c r="G259" t="n">
        <x:f>--AND(A259+'Calculator'!$B$6&gt;=15,B259+'Calculator'!$B$6&gt;=15,C259+'Calculator'!$B$6&gt;=15)</x:f>
        <x:v>0</x:v>
      </x:c>
      <x:c r="H259" t="n">
        <x:f>--AND(F259=1,D259='Calculator'!$B$4)</x:f>
        <x:v>0</x:v>
      </x:c>
      <x:c r="I259" t="n">
        <x:f>--AND(H259=1,G259=1)</x:f>
        <x:v>0</x:v>
      </x:c>
      <x:c r="J259" t="n">
        <x:f>--AND(F259=1,E259='Calculator'!$B$4)</x:f>
        <x:v>0</x:v>
      </x:c>
      <x:c r="K259" t="n">
        <x:f>--AND(J259=1,G259=1)</x:f>
        <x:v>0</x:v>
      </x:c>
      <x:c r="L259" t="str">
        <x:f>A259&amp;"/"&amp;B259&amp;"/"&amp;C259</x:f>
        <x:v>8/11/13</x:v>
      </x:c>
      <x:c r="M259" t="str">
        <x:f>MIN(15,A259+'Calculator'!$B$6)&amp;"/"&amp;MIN(15,B259+'Calculator'!$B$6)&amp;"/"&amp;MIN(15,C259+'Calculator'!$B$6)</x:f>
        <x:v>10/13/15</x:v>
      </x:c>
    </x:row>
    <x:row r="260">
      <x:c r="A260" t="n">
        <x:v>8</x:v>
      </x:c>
      <x:c r="B260" t="n">
        <x:v>11</x:v>
      </x:c>
      <x:c r="C260" t="n">
        <x:v>14</x:v>
      </x:c>
      <x:c r="D260" t="n">
        <x:f>MAX(10,ROUNDDOWN((('Calculator'!$B$10+A260)*SQRT('Calculator'!$B$11+B260)*SQRT('Calculator'!$B$12+C260)*0.59740001^2)/10,0))</x:f>
        <x:v>2305</x:v>
      </x:c>
      <x:c r="E260" t="n">
        <x:f>MAX(10,ROUNDDOWN((('Calculator'!$B$10+A260)*SQRT('Calculator'!$B$11+B260)*SQRT('Calculator'!$B$12+C260)*0.667934^2)/10,0))</x:f>
        <x:v>2882</x:v>
      </x:c>
      <x:c r="F260" t="n">
        <x:f>--AND(A260&gt;='Calculator'!$B$5,B260&gt;='Calculator'!$B$5,C260&gt;='Calculator'!$B$5)</x:f>
        <x:v>1</x:v>
      </x:c>
      <x:c r="G260" t="n">
        <x:f>--AND(A260+'Calculator'!$B$6&gt;=15,B260+'Calculator'!$B$6&gt;=15,C260+'Calculator'!$B$6&gt;=15)</x:f>
        <x:v>0</x:v>
      </x:c>
      <x:c r="H260" t="n">
        <x:f>--AND(F260=1,D260='Calculator'!$B$4)</x:f>
        <x:v>0</x:v>
      </x:c>
      <x:c r="I260" t="n">
        <x:f>--AND(H260=1,G260=1)</x:f>
        <x:v>0</x:v>
      </x:c>
      <x:c r="J260" t="n">
        <x:f>--AND(F260=1,E260='Calculator'!$B$4)</x:f>
        <x:v>0</x:v>
      </x:c>
      <x:c r="K260" t="n">
        <x:f>--AND(J260=1,G260=1)</x:f>
        <x:v>0</x:v>
      </x:c>
      <x:c r="L260" t="str">
        <x:f>A260&amp;"/"&amp;B260&amp;"/"&amp;C260</x:f>
        <x:v>8/11/14</x:v>
      </x:c>
      <x:c r="M260" t="str">
        <x:f>MIN(15,A260+'Calculator'!$B$6)&amp;"/"&amp;MIN(15,B260+'Calculator'!$B$6)&amp;"/"&amp;MIN(15,C260+'Calculator'!$B$6)</x:f>
        <x:v>10/13/15</x:v>
      </x:c>
    </x:row>
    <x:row r="261">
      <x:c r="A261" t="n">
        <x:v>8</x:v>
      </x:c>
      <x:c r="B261" t="n">
        <x:v>11</x:v>
      </x:c>
      <x:c r="C261" t="n">
        <x:v>15</x:v>
      </x:c>
      <x:c r="D261" t="n">
        <x:f>MAX(10,ROUNDDOWN((('Calculator'!$B$10+A261)*SQRT('Calculator'!$B$11+B261)*SQRT('Calculator'!$B$12+C261)*0.59740001^2)/10,0))</x:f>
        <x:v>2310</x:v>
      </x:c>
      <x:c r="E261" t="n">
        <x:f>MAX(10,ROUNDDOWN((('Calculator'!$B$10+A261)*SQRT('Calculator'!$B$11+B261)*SQRT('Calculator'!$B$12+C261)*0.667934^2)/10,0))</x:f>
        <x:v>2888</x:v>
      </x:c>
      <x:c r="F261" t="n">
        <x:f>--AND(A261&gt;='Calculator'!$B$5,B261&gt;='Calculator'!$B$5,C261&gt;='Calculator'!$B$5)</x:f>
        <x:v>1</x:v>
      </x:c>
      <x:c r="G261" t="n">
        <x:f>--AND(A261+'Calculator'!$B$6&gt;=15,B261+'Calculator'!$B$6&gt;=15,C261+'Calculator'!$B$6&gt;=15)</x:f>
        <x:v>0</x:v>
      </x:c>
      <x:c r="H261" t="n">
        <x:f>--AND(F261=1,D261='Calculator'!$B$4)</x:f>
        <x:v>0</x:v>
      </x:c>
      <x:c r="I261" t="n">
        <x:f>--AND(H261=1,G261=1)</x:f>
        <x:v>0</x:v>
      </x:c>
      <x:c r="J261" t="n">
        <x:f>--AND(F261=1,E261='Calculator'!$B$4)</x:f>
        <x:v>0</x:v>
      </x:c>
      <x:c r="K261" t="n">
        <x:f>--AND(J261=1,G261=1)</x:f>
        <x:v>0</x:v>
      </x:c>
      <x:c r="L261" t="str">
        <x:f>A261&amp;"/"&amp;B261&amp;"/"&amp;C261</x:f>
        <x:v>8/11/15</x:v>
      </x:c>
      <x:c r="M261" t="str">
        <x:f>MIN(15,A261+'Calculator'!$B$6)&amp;"/"&amp;MIN(15,B261+'Calculator'!$B$6)&amp;"/"&amp;MIN(15,C261+'Calculator'!$B$6)</x:f>
        <x:v>10/13/15</x:v>
      </x:c>
    </x:row>
    <x:row r="262">
      <x:c r="A262" t="n">
        <x:v>8</x:v>
      </x:c>
      <x:c r="B262" t="n">
        <x:v>12</x:v>
      </x:c>
      <x:c r="C262" t="n">
        <x:v>6</x:v>
      </x:c>
      <x:c r="D262" t="n">
        <x:f>MAX(10,ROUNDDOWN((('Calculator'!$B$10+A262)*SQRT('Calculator'!$B$11+B262)*SQRT('Calculator'!$B$12+C262)*0.59740001^2)/10,0))</x:f>
        <x:v>2270</x:v>
      </x:c>
      <x:c r="E262" t="n">
        <x:f>MAX(10,ROUNDDOWN((('Calculator'!$B$10+A262)*SQRT('Calculator'!$B$11+B262)*SQRT('Calculator'!$B$12+C262)*0.667934^2)/10,0))</x:f>
        <x:v>2838</x:v>
      </x:c>
      <x:c r="F262" t="n">
        <x:f>--AND(A262&gt;='Calculator'!$B$5,B262&gt;='Calculator'!$B$5,C262&gt;='Calculator'!$B$5)</x:f>
        <x:v>1</x:v>
      </x:c>
      <x:c r="G262" t="n">
        <x:f>--AND(A262+'Calculator'!$B$6&gt;=15,B262+'Calculator'!$B$6&gt;=15,C262+'Calculator'!$B$6&gt;=15)</x:f>
        <x:v>0</x:v>
      </x:c>
      <x:c r="H262" t="n">
        <x:f>--AND(F262=1,D262='Calculator'!$B$4)</x:f>
        <x:v>0</x:v>
      </x:c>
      <x:c r="I262" t="n">
        <x:f>--AND(H262=1,G262=1)</x:f>
        <x:v>0</x:v>
      </x:c>
      <x:c r="J262" t="n">
        <x:f>--AND(F262=1,E262='Calculator'!$B$4)</x:f>
        <x:v>0</x:v>
      </x:c>
      <x:c r="K262" t="n">
        <x:f>--AND(J262=1,G262=1)</x:f>
        <x:v>0</x:v>
      </x:c>
      <x:c r="L262" t="str">
        <x:f>A262&amp;"/"&amp;B262&amp;"/"&amp;C262</x:f>
        <x:v>8/12/6</x:v>
      </x:c>
      <x:c r="M262" t="str">
        <x:f>MIN(15,A262+'Calculator'!$B$6)&amp;"/"&amp;MIN(15,B262+'Calculator'!$B$6)&amp;"/"&amp;MIN(15,C262+'Calculator'!$B$6)</x:f>
        <x:v>10/14/8</x:v>
      </x:c>
    </x:row>
    <x:row r="263">
      <x:c r="A263" t="n">
        <x:v>8</x:v>
      </x:c>
      <x:c r="B263" t="n">
        <x:v>12</x:v>
      </x:c>
      <x:c r="C263" t="n">
        <x:v>7</x:v>
      </x:c>
      <x:c r="D263" t="n">
        <x:f>MAX(10,ROUNDDOWN((('Calculator'!$B$10+A263)*SQRT('Calculator'!$B$11+B263)*SQRT('Calculator'!$B$12+C263)*0.59740001^2)/10,0))</x:f>
        <x:v>2276</x:v>
      </x:c>
      <x:c r="E263" t="n">
        <x:f>MAX(10,ROUNDDOWN((('Calculator'!$B$10+A263)*SQRT('Calculator'!$B$11+B263)*SQRT('Calculator'!$B$12+C263)*0.667934^2)/10,0))</x:f>
        <x:v>2845</x:v>
      </x:c>
      <x:c r="F263" t="n">
        <x:f>--AND(A263&gt;='Calculator'!$B$5,B263&gt;='Calculator'!$B$5,C263&gt;='Calculator'!$B$5)</x:f>
        <x:v>1</x:v>
      </x:c>
      <x:c r="G263" t="n">
        <x:f>--AND(A263+'Calculator'!$B$6&gt;=15,B263+'Calculator'!$B$6&gt;=15,C263+'Calculator'!$B$6&gt;=15)</x:f>
        <x:v>0</x:v>
      </x:c>
      <x:c r="H263" t="n">
        <x:f>--AND(F263=1,D263='Calculator'!$B$4)</x:f>
        <x:v>0</x:v>
      </x:c>
      <x:c r="I263" t="n">
        <x:f>--AND(H263=1,G263=1)</x:f>
        <x:v>0</x:v>
      </x:c>
      <x:c r="J263" t="n">
        <x:f>--AND(F263=1,E263='Calculator'!$B$4)</x:f>
        <x:v>0</x:v>
      </x:c>
      <x:c r="K263" t="n">
        <x:f>--AND(J263=1,G263=1)</x:f>
        <x:v>0</x:v>
      </x:c>
      <x:c r="L263" t="str">
        <x:f>A263&amp;"/"&amp;B263&amp;"/"&amp;C263</x:f>
        <x:v>8/12/7</x:v>
      </x:c>
      <x:c r="M263" t="str">
        <x:f>MIN(15,A263+'Calculator'!$B$6)&amp;"/"&amp;MIN(15,B263+'Calculator'!$B$6)&amp;"/"&amp;MIN(15,C263+'Calculator'!$B$6)</x:f>
        <x:v>10/14/9</x:v>
      </x:c>
    </x:row>
    <x:row r="264">
      <x:c r="A264" t="n">
        <x:v>8</x:v>
      </x:c>
      <x:c r="B264" t="n">
        <x:v>12</x:v>
      </x:c>
      <x:c r="C264" t="n">
        <x:v>8</x:v>
      </x:c>
      <x:c r="D264" t="n">
        <x:f>MAX(10,ROUNDDOWN((('Calculator'!$B$10+A264)*SQRT('Calculator'!$B$11+B264)*SQRT('Calculator'!$B$12+C264)*0.59740001^2)/10,0))</x:f>
        <x:v>2281</x:v>
      </x:c>
      <x:c r="E264" t="n">
        <x:f>MAX(10,ROUNDDOWN((('Calculator'!$B$10+A264)*SQRT('Calculator'!$B$11+B264)*SQRT('Calculator'!$B$12+C264)*0.667934^2)/10,0))</x:f>
        <x:v>2851</x:v>
      </x:c>
      <x:c r="F264" t="n">
        <x:f>--AND(A264&gt;='Calculator'!$B$5,B264&gt;='Calculator'!$B$5,C264&gt;='Calculator'!$B$5)</x:f>
        <x:v>1</x:v>
      </x:c>
      <x:c r="G264" t="n">
        <x:f>--AND(A264+'Calculator'!$B$6&gt;=15,B264+'Calculator'!$B$6&gt;=15,C264+'Calculator'!$B$6&gt;=15)</x:f>
        <x:v>0</x:v>
      </x:c>
      <x:c r="H264" t="n">
        <x:f>--AND(F264=1,D264='Calculator'!$B$4)</x:f>
        <x:v>0</x:v>
      </x:c>
      <x:c r="I264" t="n">
        <x:f>--AND(H264=1,G264=1)</x:f>
        <x:v>0</x:v>
      </x:c>
      <x:c r="J264" t="n">
        <x:f>--AND(F264=1,E264='Calculator'!$B$4)</x:f>
        <x:v>0</x:v>
      </x:c>
      <x:c r="K264" t="n">
        <x:f>--AND(J264=1,G264=1)</x:f>
        <x:v>0</x:v>
      </x:c>
      <x:c r="L264" t="str">
        <x:f>A264&amp;"/"&amp;B264&amp;"/"&amp;C264</x:f>
        <x:v>8/12/8</x:v>
      </x:c>
      <x:c r="M264" t="str">
        <x:f>MIN(15,A264+'Calculator'!$B$6)&amp;"/"&amp;MIN(15,B264+'Calculator'!$B$6)&amp;"/"&amp;MIN(15,C264+'Calculator'!$B$6)</x:f>
        <x:v>10/14/10</x:v>
      </x:c>
    </x:row>
    <x:row r="265">
      <x:c r="A265" t="n">
        <x:v>8</x:v>
      </x:c>
      <x:c r="B265" t="n">
        <x:v>12</x:v>
      </x:c>
      <x:c r="C265" t="n">
        <x:v>9</x:v>
      </x:c>
      <x:c r="D265" t="n">
        <x:f>MAX(10,ROUNDDOWN((('Calculator'!$B$10+A265)*SQRT('Calculator'!$B$11+B265)*SQRT('Calculator'!$B$12+C265)*0.59740001^2)/10,0))</x:f>
        <x:v>2286</x:v>
      </x:c>
      <x:c r="E265" t="n">
        <x:f>MAX(10,ROUNDDOWN((('Calculator'!$B$10+A265)*SQRT('Calculator'!$B$11+B265)*SQRT('Calculator'!$B$12+C265)*0.667934^2)/10,0))</x:f>
        <x:v>2858</x:v>
      </x:c>
      <x:c r="F265" t="n">
        <x:f>--AND(A265&gt;='Calculator'!$B$5,B265&gt;='Calculator'!$B$5,C265&gt;='Calculator'!$B$5)</x:f>
        <x:v>1</x:v>
      </x:c>
      <x:c r="G265" t="n">
        <x:f>--AND(A265+'Calculator'!$B$6&gt;=15,B265+'Calculator'!$B$6&gt;=15,C265+'Calculator'!$B$6&gt;=15)</x:f>
        <x:v>0</x:v>
      </x:c>
      <x:c r="H265" t="n">
        <x:f>--AND(F265=1,D265='Calculator'!$B$4)</x:f>
        <x:v>0</x:v>
      </x:c>
      <x:c r="I265" t="n">
        <x:f>--AND(H265=1,G265=1)</x:f>
        <x:v>0</x:v>
      </x:c>
      <x:c r="J265" t="n">
        <x:f>--AND(F265=1,E265='Calculator'!$B$4)</x:f>
        <x:v>0</x:v>
      </x:c>
      <x:c r="K265" t="n">
        <x:f>--AND(J265=1,G265=1)</x:f>
        <x:v>0</x:v>
      </x:c>
      <x:c r="L265" t="str">
        <x:f>A265&amp;"/"&amp;B265&amp;"/"&amp;C265</x:f>
        <x:v>8/12/9</x:v>
      </x:c>
      <x:c r="M265" t="str">
        <x:f>MIN(15,A265+'Calculator'!$B$6)&amp;"/"&amp;MIN(15,B265+'Calculator'!$B$6)&amp;"/"&amp;MIN(15,C265+'Calculator'!$B$6)</x:f>
        <x:v>10/14/11</x:v>
      </x:c>
    </x:row>
    <x:row r="266">
      <x:c r="A266" t="n">
        <x:v>8</x:v>
      </x:c>
      <x:c r="B266" t="n">
        <x:v>12</x:v>
      </x:c>
      <x:c r="C266" t="n">
        <x:v>10</x:v>
      </x:c>
      <x:c r="D266" t="n">
        <x:f>MAX(10,ROUNDDOWN((('Calculator'!$B$10+A266)*SQRT('Calculator'!$B$11+B266)*SQRT('Calculator'!$B$12+C266)*0.59740001^2)/10,0))</x:f>
        <x:v>2291</x:v>
      </x:c>
      <x:c r="E266" t="n">
        <x:f>MAX(10,ROUNDDOWN((('Calculator'!$B$10+A266)*SQRT('Calculator'!$B$11+B266)*SQRT('Calculator'!$B$12+C266)*0.667934^2)/10,0))</x:f>
        <x:v>2864</x:v>
      </x:c>
      <x:c r="F266" t="n">
        <x:f>--AND(A266&gt;='Calculator'!$B$5,B266&gt;='Calculator'!$B$5,C266&gt;='Calculator'!$B$5)</x:f>
        <x:v>1</x:v>
      </x:c>
      <x:c r="G266" t="n">
        <x:f>--AND(A266+'Calculator'!$B$6&gt;=15,B266+'Calculator'!$B$6&gt;=15,C266+'Calculator'!$B$6&gt;=15)</x:f>
        <x:v>0</x:v>
      </x:c>
      <x:c r="H266" t="n">
        <x:f>--AND(F266=1,D266='Calculator'!$B$4)</x:f>
        <x:v>0</x:v>
      </x:c>
      <x:c r="I266" t="n">
        <x:f>--AND(H266=1,G266=1)</x:f>
        <x:v>0</x:v>
      </x:c>
      <x:c r="J266" t="n">
        <x:f>--AND(F266=1,E266='Calculator'!$B$4)</x:f>
        <x:v>0</x:v>
      </x:c>
      <x:c r="K266" t="n">
        <x:f>--AND(J266=1,G266=1)</x:f>
        <x:v>0</x:v>
      </x:c>
      <x:c r="L266" t="str">
        <x:f>A266&amp;"/"&amp;B266&amp;"/"&amp;C266</x:f>
        <x:v>8/12/10</x:v>
      </x:c>
      <x:c r="M266" t="str">
        <x:f>MIN(15,A266+'Calculator'!$B$6)&amp;"/"&amp;MIN(15,B266+'Calculator'!$B$6)&amp;"/"&amp;MIN(15,C266+'Calculator'!$B$6)</x:f>
        <x:v>10/14/12</x:v>
      </x:c>
    </x:row>
    <x:row r="267">
      <x:c r="A267" t="n">
        <x:v>8</x:v>
      </x:c>
      <x:c r="B267" t="n">
        <x:v>12</x:v>
      </x:c>
      <x:c r="C267" t="n">
        <x:v>11</x:v>
      </x:c>
      <x:c r="D267" t="n">
        <x:f>MAX(10,ROUNDDOWN((('Calculator'!$B$10+A267)*SQRT('Calculator'!$B$11+B267)*SQRT('Calculator'!$B$12+C267)*0.59740001^2)/10,0))</x:f>
        <x:v>2296</x:v>
      </x:c>
      <x:c r="E267" t="n">
        <x:f>MAX(10,ROUNDDOWN((('Calculator'!$B$10+A267)*SQRT('Calculator'!$B$11+B267)*SQRT('Calculator'!$B$12+C267)*0.667934^2)/10,0))</x:f>
        <x:v>2870</x:v>
      </x:c>
      <x:c r="F267" t="n">
        <x:f>--AND(A267&gt;='Calculator'!$B$5,B267&gt;='Calculator'!$B$5,C267&gt;='Calculator'!$B$5)</x:f>
        <x:v>1</x:v>
      </x:c>
      <x:c r="G267" t="n">
        <x:f>--AND(A267+'Calculator'!$B$6&gt;=15,B267+'Calculator'!$B$6&gt;=15,C267+'Calculator'!$B$6&gt;=15)</x:f>
        <x:v>0</x:v>
      </x:c>
      <x:c r="H267" t="n">
        <x:f>--AND(F267=1,D267='Calculator'!$B$4)</x:f>
        <x:v>0</x:v>
      </x:c>
      <x:c r="I267" t="n">
        <x:f>--AND(H267=1,G267=1)</x:f>
        <x:v>0</x:v>
      </x:c>
      <x:c r="J267" t="n">
        <x:f>--AND(F267=1,E267='Calculator'!$B$4)</x:f>
        <x:v>0</x:v>
      </x:c>
      <x:c r="K267" t="n">
        <x:f>--AND(J267=1,G267=1)</x:f>
        <x:v>0</x:v>
      </x:c>
      <x:c r="L267" t="str">
        <x:f>A267&amp;"/"&amp;B267&amp;"/"&amp;C267</x:f>
        <x:v>8/12/11</x:v>
      </x:c>
      <x:c r="M267" t="str">
        <x:f>MIN(15,A267+'Calculator'!$B$6)&amp;"/"&amp;MIN(15,B267+'Calculator'!$B$6)&amp;"/"&amp;MIN(15,C267+'Calculator'!$B$6)</x:f>
        <x:v>10/14/13</x:v>
      </x:c>
    </x:row>
    <x:row r="268">
      <x:c r="A268" t="n">
        <x:v>8</x:v>
      </x:c>
      <x:c r="B268" t="n">
        <x:v>12</x:v>
      </x:c>
      <x:c r="C268" t="n">
        <x:v>12</x:v>
      </x:c>
      <x:c r="D268" t="n">
        <x:f>MAX(10,ROUNDDOWN((('Calculator'!$B$10+A268)*SQRT('Calculator'!$B$11+B268)*SQRT('Calculator'!$B$12+C268)*0.59740001^2)/10,0))</x:f>
        <x:v>2301</x:v>
      </x:c>
      <x:c r="E268" t="n">
        <x:f>MAX(10,ROUNDDOWN((('Calculator'!$B$10+A268)*SQRT('Calculator'!$B$11+B268)*SQRT('Calculator'!$B$12+C268)*0.667934^2)/10,0))</x:f>
        <x:v>2877</x:v>
      </x:c>
      <x:c r="F268" t="n">
        <x:f>--AND(A268&gt;='Calculator'!$B$5,B268&gt;='Calculator'!$B$5,C268&gt;='Calculator'!$B$5)</x:f>
        <x:v>1</x:v>
      </x:c>
      <x:c r="G268" t="n">
        <x:f>--AND(A268+'Calculator'!$B$6&gt;=15,B268+'Calculator'!$B$6&gt;=15,C268+'Calculator'!$B$6&gt;=15)</x:f>
        <x:v>0</x:v>
      </x:c>
      <x:c r="H268" t="n">
        <x:f>--AND(F268=1,D268='Calculator'!$B$4)</x:f>
        <x:v>0</x:v>
      </x:c>
      <x:c r="I268" t="n">
        <x:f>--AND(H268=1,G268=1)</x:f>
        <x:v>0</x:v>
      </x:c>
      <x:c r="J268" t="n">
        <x:f>--AND(F268=1,E268='Calculator'!$B$4)</x:f>
        <x:v>0</x:v>
      </x:c>
      <x:c r="K268" t="n">
        <x:f>--AND(J268=1,G268=1)</x:f>
        <x:v>0</x:v>
      </x:c>
      <x:c r="L268" t="str">
        <x:f>A268&amp;"/"&amp;B268&amp;"/"&amp;C268</x:f>
        <x:v>8/12/12</x:v>
      </x:c>
      <x:c r="M268" t="str">
        <x:f>MIN(15,A268+'Calculator'!$B$6)&amp;"/"&amp;MIN(15,B268+'Calculator'!$B$6)&amp;"/"&amp;MIN(15,C268+'Calculator'!$B$6)</x:f>
        <x:v>10/14/14</x:v>
      </x:c>
    </x:row>
    <x:row r="269">
      <x:c r="A269" t="n">
        <x:v>8</x:v>
      </x:c>
      <x:c r="B269" t="n">
        <x:v>12</x:v>
      </x:c>
      <x:c r="C269" t="n">
        <x:v>13</x:v>
      </x:c>
      <x:c r="D269" t="n">
        <x:f>MAX(10,ROUNDDOWN((('Calculator'!$B$10+A269)*SQRT('Calculator'!$B$11+B269)*SQRT('Calculator'!$B$12+C269)*0.59740001^2)/10,0))</x:f>
        <x:v>2306</x:v>
      </x:c>
      <x:c r="E269" t="n">
        <x:f>MAX(10,ROUNDDOWN((('Calculator'!$B$10+A269)*SQRT('Calculator'!$B$11+B269)*SQRT('Calculator'!$B$12+C269)*0.667934^2)/10,0))</x:f>
        <x:v>2883</x:v>
      </x:c>
      <x:c r="F269" t="n">
        <x:f>--AND(A269&gt;='Calculator'!$B$5,B269&gt;='Calculator'!$B$5,C269&gt;='Calculator'!$B$5)</x:f>
        <x:v>1</x:v>
      </x:c>
      <x:c r="G269" t="n">
        <x:f>--AND(A269+'Calculator'!$B$6&gt;=15,B269+'Calculator'!$B$6&gt;=15,C269+'Calculator'!$B$6&gt;=15)</x:f>
        <x:v>0</x:v>
      </x:c>
      <x:c r="H269" t="n">
        <x:f>--AND(F269=1,D269='Calculator'!$B$4)</x:f>
        <x:v>0</x:v>
      </x:c>
      <x:c r="I269" t="n">
        <x:f>--AND(H269=1,G269=1)</x:f>
        <x:v>0</x:v>
      </x:c>
      <x:c r="J269" t="n">
        <x:f>--AND(F269=1,E269='Calculator'!$B$4)</x:f>
        <x:v>0</x:v>
      </x:c>
      <x:c r="K269" t="n">
        <x:f>--AND(J269=1,G269=1)</x:f>
        <x:v>0</x:v>
      </x:c>
      <x:c r="L269" t="str">
        <x:f>A269&amp;"/"&amp;B269&amp;"/"&amp;C269</x:f>
        <x:v>8/12/13</x:v>
      </x:c>
      <x:c r="M269" t="str">
        <x:f>MIN(15,A269+'Calculator'!$B$6)&amp;"/"&amp;MIN(15,B269+'Calculator'!$B$6)&amp;"/"&amp;MIN(15,C269+'Calculator'!$B$6)</x:f>
        <x:v>10/14/15</x:v>
      </x:c>
    </x:row>
    <x:row r="270">
      <x:c r="A270" t="n">
        <x:v>8</x:v>
      </x:c>
      <x:c r="B270" t="n">
        <x:v>12</x:v>
      </x:c>
      <x:c r="C270" t="n">
        <x:v>14</x:v>
      </x:c>
      <x:c r="D270" t="n">
        <x:f>MAX(10,ROUNDDOWN((('Calculator'!$B$10+A270)*SQRT('Calculator'!$B$11+B270)*SQRT('Calculator'!$B$12+C270)*0.59740001^2)/10,0))</x:f>
        <x:v>2311</x:v>
      </x:c>
      <x:c r="E270" t="n">
        <x:f>MAX(10,ROUNDDOWN((('Calculator'!$B$10+A270)*SQRT('Calculator'!$B$11+B270)*SQRT('Calculator'!$B$12+C270)*0.667934^2)/10,0))</x:f>
        <x:v>2889</x:v>
      </x:c>
      <x:c r="F270" t="n">
        <x:f>--AND(A270&gt;='Calculator'!$B$5,B270&gt;='Calculator'!$B$5,C270&gt;='Calculator'!$B$5)</x:f>
        <x:v>1</x:v>
      </x:c>
      <x:c r="G270" t="n">
        <x:f>--AND(A270+'Calculator'!$B$6&gt;=15,B270+'Calculator'!$B$6&gt;=15,C270+'Calculator'!$B$6&gt;=15)</x:f>
        <x:v>0</x:v>
      </x:c>
      <x:c r="H270" t="n">
        <x:f>--AND(F270=1,D270='Calculator'!$B$4)</x:f>
        <x:v>0</x:v>
      </x:c>
      <x:c r="I270" t="n">
        <x:f>--AND(H270=1,G270=1)</x:f>
        <x:v>0</x:v>
      </x:c>
      <x:c r="J270" t="n">
        <x:f>--AND(F270=1,E270='Calculator'!$B$4)</x:f>
        <x:v>0</x:v>
      </x:c>
      <x:c r="K270" t="n">
        <x:f>--AND(J270=1,G270=1)</x:f>
        <x:v>0</x:v>
      </x:c>
      <x:c r="L270" t="str">
        <x:f>A270&amp;"/"&amp;B270&amp;"/"&amp;C270</x:f>
        <x:v>8/12/14</x:v>
      </x:c>
      <x:c r="M270" t="str">
        <x:f>MIN(15,A270+'Calculator'!$B$6)&amp;"/"&amp;MIN(15,B270+'Calculator'!$B$6)&amp;"/"&amp;MIN(15,C270+'Calculator'!$B$6)</x:f>
        <x:v>10/14/15</x:v>
      </x:c>
    </x:row>
    <x:row r="271">
      <x:c r="A271" t="n">
        <x:v>8</x:v>
      </x:c>
      <x:c r="B271" t="n">
        <x:v>12</x:v>
      </x:c>
      <x:c r="C271" t="n">
        <x:v>15</x:v>
      </x:c>
      <x:c r="D271" t="n">
        <x:f>MAX(10,ROUNDDOWN((('Calculator'!$B$10+A271)*SQRT('Calculator'!$B$11+B271)*SQRT('Calculator'!$B$12+C271)*0.59740001^2)/10,0))</x:f>
        <x:v>2316</x:v>
      </x:c>
      <x:c r="E271" t="n">
        <x:f>MAX(10,ROUNDDOWN((('Calculator'!$B$10+A271)*SQRT('Calculator'!$B$11+B271)*SQRT('Calculator'!$B$12+C271)*0.667934^2)/10,0))</x:f>
        <x:v>2896</x:v>
      </x:c>
      <x:c r="F271" t="n">
        <x:f>--AND(A271&gt;='Calculator'!$B$5,B271&gt;='Calculator'!$B$5,C271&gt;='Calculator'!$B$5)</x:f>
        <x:v>1</x:v>
      </x:c>
      <x:c r="G271" t="n">
        <x:f>--AND(A271+'Calculator'!$B$6&gt;=15,B271+'Calculator'!$B$6&gt;=15,C271+'Calculator'!$B$6&gt;=15)</x:f>
        <x:v>0</x:v>
      </x:c>
      <x:c r="H271" t="n">
        <x:f>--AND(F271=1,D271='Calculator'!$B$4)</x:f>
        <x:v>0</x:v>
      </x:c>
      <x:c r="I271" t="n">
        <x:f>--AND(H271=1,G271=1)</x:f>
        <x:v>0</x:v>
      </x:c>
      <x:c r="J271" t="n">
        <x:f>--AND(F271=1,E271='Calculator'!$B$4)</x:f>
        <x:v>0</x:v>
      </x:c>
      <x:c r="K271" t="n">
        <x:f>--AND(J271=1,G271=1)</x:f>
        <x:v>0</x:v>
      </x:c>
      <x:c r="L271" t="str">
        <x:f>A271&amp;"/"&amp;B271&amp;"/"&amp;C271</x:f>
        <x:v>8/12/15</x:v>
      </x:c>
      <x:c r="M271" t="str">
        <x:f>MIN(15,A271+'Calculator'!$B$6)&amp;"/"&amp;MIN(15,B271+'Calculator'!$B$6)&amp;"/"&amp;MIN(15,C271+'Calculator'!$B$6)</x:f>
        <x:v>10/14/15</x:v>
      </x:c>
    </x:row>
    <x:row r="272">
      <x:c r="A272" t="n">
        <x:v>8</x:v>
      </x:c>
      <x:c r="B272" t="n">
        <x:v>13</x:v>
      </x:c>
      <x:c r="C272" t="n">
        <x:v>6</x:v>
      </x:c>
      <x:c r="D272" t="n">
        <x:f>MAX(10,ROUNDDOWN((('Calculator'!$B$10+A272)*SQRT('Calculator'!$B$11+B272)*SQRT('Calculator'!$B$12+C272)*0.59740001^2)/10,0))</x:f>
        <x:v>2276</x:v>
      </x:c>
      <x:c r="E272" t="n">
        <x:f>MAX(10,ROUNDDOWN((('Calculator'!$B$10+A272)*SQRT('Calculator'!$B$11+B272)*SQRT('Calculator'!$B$12+C272)*0.667934^2)/10,0))</x:f>
        <x:v>2846</x:v>
      </x:c>
      <x:c r="F272" t="n">
        <x:f>--AND(A272&gt;='Calculator'!$B$5,B272&gt;='Calculator'!$B$5,C272&gt;='Calculator'!$B$5)</x:f>
        <x:v>1</x:v>
      </x:c>
      <x:c r="G272" t="n">
        <x:f>--AND(A272+'Calculator'!$B$6&gt;=15,B272+'Calculator'!$B$6&gt;=15,C272+'Calculator'!$B$6&gt;=15)</x:f>
        <x:v>0</x:v>
      </x:c>
      <x:c r="H272" t="n">
        <x:f>--AND(F272=1,D272='Calculator'!$B$4)</x:f>
        <x:v>0</x:v>
      </x:c>
      <x:c r="I272" t="n">
        <x:f>--AND(H272=1,G272=1)</x:f>
        <x:v>0</x:v>
      </x:c>
      <x:c r="J272" t="n">
        <x:f>--AND(F272=1,E272='Calculator'!$B$4)</x:f>
        <x:v>0</x:v>
      </x:c>
      <x:c r="K272" t="n">
        <x:f>--AND(J272=1,G272=1)</x:f>
        <x:v>0</x:v>
      </x:c>
      <x:c r="L272" t="str">
        <x:f>A272&amp;"/"&amp;B272&amp;"/"&amp;C272</x:f>
        <x:v>8/13/6</x:v>
      </x:c>
      <x:c r="M272" t="str">
        <x:f>MIN(15,A272+'Calculator'!$B$6)&amp;"/"&amp;MIN(15,B272+'Calculator'!$B$6)&amp;"/"&amp;MIN(15,C272+'Calculator'!$B$6)</x:f>
        <x:v>10/15/8</x:v>
      </x:c>
    </x:row>
    <x:row r="273">
      <x:c r="A273" t="n">
        <x:v>8</x:v>
      </x:c>
      <x:c r="B273" t="n">
        <x:v>13</x:v>
      </x:c>
      <x:c r="C273" t="n">
        <x:v>7</x:v>
      </x:c>
      <x:c r="D273" t="n">
        <x:f>MAX(10,ROUNDDOWN((('Calculator'!$B$10+A273)*SQRT('Calculator'!$B$11+B273)*SQRT('Calculator'!$B$12+C273)*0.59740001^2)/10,0))</x:f>
        <x:v>2281</x:v>
      </x:c>
      <x:c r="E273" t="n">
        <x:f>MAX(10,ROUNDDOWN((('Calculator'!$B$10+A273)*SQRT('Calculator'!$B$11+B273)*SQRT('Calculator'!$B$12+C273)*0.667934^2)/10,0))</x:f>
        <x:v>2852</x:v>
      </x:c>
      <x:c r="F273" t="n">
        <x:f>--AND(A273&gt;='Calculator'!$B$5,B273&gt;='Calculator'!$B$5,C273&gt;='Calculator'!$B$5)</x:f>
        <x:v>1</x:v>
      </x:c>
      <x:c r="G273" t="n">
        <x:f>--AND(A273+'Calculator'!$B$6&gt;=15,B273+'Calculator'!$B$6&gt;=15,C273+'Calculator'!$B$6&gt;=15)</x:f>
        <x:v>0</x:v>
      </x:c>
      <x:c r="H273" t="n">
        <x:f>--AND(F273=1,D273='Calculator'!$B$4)</x:f>
        <x:v>0</x:v>
      </x:c>
      <x:c r="I273" t="n">
        <x:f>--AND(H273=1,G273=1)</x:f>
        <x:v>0</x:v>
      </x:c>
      <x:c r="J273" t="n">
        <x:f>--AND(F273=1,E273='Calculator'!$B$4)</x:f>
        <x:v>0</x:v>
      </x:c>
      <x:c r="K273" t="n">
        <x:f>--AND(J273=1,G273=1)</x:f>
        <x:v>0</x:v>
      </x:c>
      <x:c r="L273" t="str">
        <x:f>A273&amp;"/"&amp;B273&amp;"/"&amp;C273</x:f>
        <x:v>8/13/7</x:v>
      </x:c>
      <x:c r="M273" t="str">
        <x:f>MIN(15,A273+'Calculator'!$B$6)&amp;"/"&amp;MIN(15,B273+'Calculator'!$B$6)&amp;"/"&amp;MIN(15,C273+'Calculator'!$B$6)</x:f>
        <x:v>10/15/9</x:v>
      </x:c>
    </x:row>
    <x:row r="274">
      <x:c r="A274" t="n">
        <x:v>8</x:v>
      </x:c>
      <x:c r="B274" t="n">
        <x:v>13</x:v>
      </x:c>
      <x:c r="C274" t="n">
        <x:v>8</x:v>
      </x:c>
      <x:c r="D274" t="n">
        <x:f>MAX(10,ROUNDDOWN((('Calculator'!$B$10+A274)*SQRT('Calculator'!$B$11+B274)*SQRT('Calculator'!$B$12+C274)*0.59740001^2)/10,0))</x:f>
        <x:v>2287</x:v>
      </x:c>
      <x:c r="E274" t="n">
        <x:f>MAX(10,ROUNDDOWN((('Calculator'!$B$10+A274)*SQRT('Calculator'!$B$11+B274)*SQRT('Calculator'!$B$12+C274)*0.667934^2)/10,0))</x:f>
        <x:v>2858</x:v>
      </x:c>
      <x:c r="F274" t="n">
        <x:f>--AND(A274&gt;='Calculator'!$B$5,B274&gt;='Calculator'!$B$5,C274&gt;='Calculator'!$B$5)</x:f>
        <x:v>1</x:v>
      </x:c>
      <x:c r="G274" t="n">
        <x:f>--AND(A274+'Calculator'!$B$6&gt;=15,B274+'Calculator'!$B$6&gt;=15,C274+'Calculator'!$B$6&gt;=15)</x:f>
        <x:v>0</x:v>
      </x:c>
      <x:c r="H274" t="n">
        <x:f>--AND(F274=1,D274='Calculator'!$B$4)</x:f>
        <x:v>0</x:v>
      </x:c>
      <x:c r="I274" t="n">
        <x:f>--AND(H274=1,G274=1)</x:f>
        <x:v>0</x:v>
      </x:c>
      <x:c r="J274" t="n">
        <x:f>--AND(F274=1,E274='Calculator'!$B$4)</x:f>
        <x:v>0</x:v>
      </x:c>
      <x:c r="K274" t="n">
        <x:f>--AND(J274=1,G274=1)</x:f>
        <x:v>0</x:v>
      </x:c>
      <x:c r="L274" t="str">
        <x:f>A274&amp;"/"&amp;B274&amp;"/"&amp;C274</x:f>
        <x:v>8/13/8</x:v>
      </x:c>
      <x:c r="M274" t="str">
        <x:f>MIN(15,A274+'Calculator'!$B$6)&amp;"/"&amp;MIN(15,B274+'Calculator'!$B$6)&amp;"/"&amp;MIN(15,C274+'Calculator'!$B$6)</x:f>
        <x:v>10/15/10</x:v>
      </x:c>
    </x:row>
    <x:row r="275">
      <x:c r="A275" t="n">
        <x:v>8</x:v>
      </x:c>
      <x:c r="B275" t="n">
        <x:v>13</x:v>
      </x:c>
      <x:c r="C275" t="n">
        <x:v>9</x:v>
      </x:c>
      <x:c r="D275" t="n">
        <x:f>MAX(10,ROUNDDOWN((('Calculator'!$B$10+A275)*SQRT('Calculator'!$B$11+B275)*SQRT('Calculator'!$B$12+C275)*0.59740001^2)/10,0))</x:f>
        <x:v>2292</x:v>
      </x:c>
      <x:c r="E275" t="n">
        <x:f>MAX(10,ROUNDDOWN((('Calculator'!$B$10+A275)*SQRT('Calculator'!$B$11+B275)*SQRT('Calculator'!$B$12+C275)*0.667934^2)/10,0))</x:f>
        <x:v>2865</x:v>
      </x:c>
      <x:c r="F275" t="n">
        <x:f>--AND(A275&gt;='Calculator'!$B$5,B275&gt;='Calculator'!$B$5,C275&gt;='Calculator'!$B$5)</x:f>
        <x:v>1</x:v>
      </x:c>
      <x:c r="G275" t="n">
        <x:f>--AND(A275+'Calculator'!$B$6&gt;=15,B275+'Calculator'!$B$6&gt;=15,C275+'Calculator'!$B$6&gt;=15)</x:f>
        <x:v>0</x:v>
      </x:c>
      <x:c r="H275" t="n">
        <x:f>--AND(F275=1,D275='Calculator'!$B$4)</x:f>
        <x:v>0</x:v>
      </x:c>
      <x:c r="I275" t="n">
        <x:f>--AND(H275=1,G275=1)</x:f>
        <x:v>0</x:v>
      </x:c>
      <x:c r="J275" t="n">
        <x:f>--AND(F275=1,E275='Calculator'!$B$4)</x:f>
        <x:v>0</x:v>
      </x:c>
      <x:c r="K275" t="n">
        <x:f>--AND(J275=1,G275=1)</x:f>
        <x:v>0</x:v>
      </x:c>
      <x:c r="L275" t="str">
        <x:f>A275&amp;"/"&amp;B275&amp;"/"&amp;C275</x:f>
        <x:v>8/13/9</x:v>
      </x:c>
      <x:c r="M275" t="str">
        <x:f>MIN(15,A275+'Calculator'!$B$6)&amp;"/"&amp;MIN(15,B275+'Calculator'!$B$6)&amp;"/"&amp;MIN(15,C275+'Calculator'!$B$6)</x:f>
        <x:v>10/15/11</x:v>
      </x:c>
    </x:row>
    <x:row r="276">
      <x:c r="A276" t="n">
        <x:v>8</x:v>
      </x:c>
      <x:c r="B276" t="n">
        <x:v>13</x:v>
      </x:c>
      <x:c r="C276" t="n">
        <x:v>10</x:v>
      </x:c>
      <x:c r="D276" t="n">
        <x:f>MAX(10,ROUNDDOWN((('Calculator'!$B$10+A276)*SQRT('Calculator'!$B$11+B276)*SQRT('Calculator'!$B$12+C276)*0.59740001^2)/10,0))</x:f>
        <x:v>2297</x:v>
      </x:c>
      <x:c r="E276" t="n">
        <x:f>MAX(10,ROUNDDOWN((('Calculator'!$B$10+A276)*SQRT('Calculator'!$B$11+B276)*SQRT('Calculator'!$B$12+C276)*0.667934^2)/10,0))</x:f>
        <x:v>2871</x:v>
      </x:c>
      <x:c r="F276" t="n">
        <x:f>--AND(A276&gt;='Calculator'!$B$5,B276&gt;='Calculator'!$B$5,C276&gt;='Calculator'!$B$5)</x:f>
        <x:v>1</x:v>
      </x:c>
      <x:c r="G276" t="n">
        <x:f>--AND(A276+'Calculator'!$B$6&gt;=15,B276+'Calculator'!$B$6&gt;=15,C276+'Calculator'!$B$6&gt;=15)</x:f>
        <x:v>0</x:v>
      </x:c>
      <x:c r="H276" t="n">
        <x:f>--AND(F276=1,D276='Calculator'!$B$4)</x:f>
        <x:v>0</x:v>
      </x:c>
      <x:c r="I276" t="n">
        <x:f>--AND(H276=1,G276=1)</x:f>
        <x:v>0</x:v>
      </x:c>
      <x:c r="J276" t="n">
        <x:f>--AND(F276=1,E276='Calculator'!$B$4)</x:f>
        <x:v>0</x:v>
      </x:c>
      <x:c r="K276" t="n">
        <x:f>--AND(J276=1,G276=1)</x:f>
        <x:v>0</x:v>
      </x:c>
      <x:c r="L276" t="str">
        <x:f>A276&amp;"/"&amp;B276&amp;"/"&amp;C276</x:f>
        <x:v>8/13/10</x:v>
      </x:c>
      <x:c r="M276" t="str">
        <x:f>MIN(15,A276+'Calculator'!$B$6)&amp;"/"&amp;MIN(15,B276+'Calculator'!$B$6)&amp;"/"&amp;MIN(15,C276+'Calculator'!$B$6)</x:f>
        <x:v>10/15/12</x:v>
      </x:c>
    </x:row>
    <x:row r="277">
      <x:c r="A277" t="n">
        <x:v>8</x:v>
      </x:c>
      <x:c r="B277" t="n">
        <x:v>13</x:v>
      </x:c>
      <x:c r="C277" t="n">
        <x:v>11</x:v>
      </x:c>
      <x:c r="D277" t="n">
        <x:f>MAX(10,ROUNDDOWN((('Calculator'!$B$10+A277)*SQRT('Calculator'!$B$11+B277)*SQRT('Calculator'!$B$12+C277)*0.59740001^2)/10,0))</x:f>
        <x:v>2302</x:v>
      </x:c>
      <x:c r="E277" t="n">
        <x:f>MAX(10,ROUNDDOWN((('Calculator'!$B$10+A277)*SQRT('Calculator'!$B$11+B277)*SQRT('Calculator'!$B$12+C277)*0.667934^2)/10,0))</x:f>
        <x:v>2878</x:v>
      </x:c>
      <x:c r="F277" t="n">
        <x:f>--AND(A277&gt;='Calculator'!$B$5,B277&gt;='Calculator'!$B$5,C277&gt;='Calculator'!$B$5)</x:f>
        <x:v>1</x:v>
      </x:c>
      <x:c r="G277" t="n">
        <x:f>--AND(A277+'Calculator'!$B$6&gt;=15,B277+'Calculator'!$B$6&gt;=15,C277+'Calculator'!$B$6&gt;=15)</x:f>
        <x:v>0</x:v>
      </x:c>
      <x:c r="H277" t="n">
        <x:f>--AND(F277=1,D277='Calculator'!$B$4)</x:f>
        <x:v>0</x:v>
      </x:c>
      <x:c r="I277" t="n">
        <x:f>--AND(H277=1,G277=1)</x:f>
        <x:v>0</x:v>
      </x:c>
      <x:c r="J277" t="n">
        <x:f>--AND(F277=1,E277='Calculator'!$B$4)</x:f>
        <x:v>0</x:v>
      </x:c>
      <x:c r="K277" t="n">
        <x:f>--AND(J277=1,G277=1)</x:f>
        <x:v>0</x:v>
      </x:c>
      <x:c r="L277" t="str">
        <x:f>A277&amp;"/"&amp;B277&amp;"/"&amp;C277</x:f>
        <x:v>8/13/11</x:v>
      </x:c>
      <x:c r="M277" t="str">
        <x:f>MIN(15,A277+'Calculator'!$B$6)&amp;"/"&amp;MIN(15,B277+'Calculator'!$B$6)&amp;"/"&amp;MIN(15,C277+'Calculator'!$B$6)</x:f>
        <x:v>10/15/13</x:v>
      </x:c>
    </x:row>
    <x:row r="278">
      <x:c r="A278" t="n">
        <x:v>8</x:v>
      </x:c>
      <x:c r="B278" t="n">
        <x:v>13</x:v>
      </x:c>
      <x:c r="C278" t="n">
        <x:v>12</x:v>
      </x:c>
      <x:c r="D278" t="n">
        <x:f>MAX(10,ROUNDDOWN((('Calculator'!$B$10+A278)*SQRT('Calculator'!$B$11+B278)*SQRT('Calculator'!$B$12+C278)*0.59740001^2)/10,0))</x:f>
        <x:v>2307</x:v>
      </x:c>
      <x:c r="E278" t="n">
        <x:f>MAX(10,ROUNDDOWN((('Calculator'!$B$10+A278)*SQRT('Calculator'!$B$11+B278)*SQRT('Calculator'!$B$12+C278)*0.667934^2)/10,0))</x:f>
        <x:v>2884</x:v>
      </x:c>
      <x:c r="F278" t="n">
        <x:f>--AND(A278&gt;='Calculator'!$B$5,B278&gt;='Calculator'!$B$5,C278&gt;='Calculator'!$B$5)</x:f>
        <x:v>1</x:v>
      </x:c>
      <x:c r="G278" t="n">
        <x:f>--AND(A278+'Calculator'!$B$6&gt;=15,B278+'Calculator'!$B$6&gt;=15,C278+'Calculator'!$B$6&gt;=15)</x:f>
        <x:v>0</x:v>
      </x:c>
      <x:c r="H278" t="n">
        <x:f>--AND(F278=1,D278='Calculator'!$B$4)</x:f>
        <x:v>0</x:v>
      </x:c>
      <x:c r="I278" t="n">
        <x:f>--AND(H278=1,G278=1)</x:f>
        <x:v>0</x:v>
      </x:c>
      <x:c r="J278" t="n">
        <x:f>--AND(F278=1,E278='Calculator'!$B$4)</x:f>
        <x:v>0</x:v>
      </x:c>
      <x:c r="K278" t="n">
        <x:f>--AND(J278=1,G278=1)</x:f>
        <x:v>0</x:v>
      </x:c>
      <x:c r="L278" t="str">
        <x:f>A278&amp;"/"&amp;B278&amp;"/"&amp;C278</x:f>
        <x:v>8/13/12</x:v>
      </x:c>
      <x:c r="M278" t="str">
        <x:f>MIN(15,A278+'Calculator'!$B$6)&amp;"/"&amp;MIN(15,B278+'Calculator'!$B$6)&amp;"/"&amp;MIN(15,C278+'Calculator'!$B$6)</x:f>
        <x:v>10/15/14</x:v>
      </x:c>
    </x:row>
    <x:row r="279">
      <x:c r="A279" t="n">
        <x:v>8</x:v>
      </x:c>
      <x:c r="B279" t="n">
        <x:v>13</x:v>
      </x:c>
      <x:c r="C279" t="n">
        <x:v>13</x:v>
      </x:c>
      <x:c r="D279" t="n">
        <x:f>MAX(10,ROUNDDOWN((('Calculator'!$B$10+A279)*SQRT('Calculator'!$B$11+B279)*SQRT('Calculator'!$B$12+C279)*0.59740001^2)/10,0))</x:f>
        <x:v>2312</x:v>
      </x:c>
      <x:c r="E279" t="n">
        <x:f>MAX(10,ROUNDDOWN((('Calculator'!$B$10+A279)*SQRT('Calculator'!$B$11+B279)*SQRT('Calculator'!$B$12+C279)*0.667934^2)/10,0))</x:f>
        <x:v>2890</x:v>
      </x:c>
      <x:c r="F279" t="n">
        <x:f>--AND(A279&gt;='Calculator'!$B$5,B279&gt;='Calculator'!$B$5,C279&gt;='Calculator'!$B$5)</x:f>
        <x:v>1</x:v>
      </x:c>
      <x:c r="G279" t="n">
        <x:f>--AND(A279+'Calculator'!$B$6&gt;=15,B279+'Calculator'!$B$6&gt;=15,C279+'Calculator'!$B$6&gt;=15)</x:f>
        <x:v>0</x:v>
      </x:c>
      <x:c r="H279" t="n">
        <x:f>--AND(F279=1,D279='Calculator'!$B$4)</x:f>
        <x:v>0</x:v>
      </x:c>
      <x:c r="I279" t="n">
        <x:f>--AND(H279=1,G279=1)</x:f>
        <x:v>0</x:v>
      </x:c>
      <x:c r="J279" t="n">
        <x:f>--AND(F279=1,E279='Calculator'!$B$4)</x:f>
        <x:v>0</x:v>
      </x:c>
      <x:c r="K279" t="n">
        <x:f>--AND(J279=1,G279=1)</x:f>
        <x:v>0</x:v>
      </x:c>
      <x:c r="L279" t="str">
        <x:f>A279&amp;"/"&amp;B279&amp;"/"&amp;C279</x:f>
        <x:v>8/13/13</x:v>
      </x:c>
      <x:c r="M279" t="str">
        <x:f>MIN(15,A279+'Calculator'!$B$6)&amp;"/"&amp;MIN(15,B279+'Calculator'!$B$6)&amp;"/"&amp;MIN(15,C279+'Calculator'!$B$6)</x:f>
        <x:v>10/15/15</x:v>
      </x:c>
    </x:row>
    <x:row r="280">
      <x:c r="A280" t="n">
        <x:v>8</x:v>
      </x:c>
      <x:c r="B280" t="n">
        <x:v>13</x:v>
      </x:c>
      <x:c r="C280" t="n">
        <x:v>14</x:v>
      </x:c>
      <x:c r="D280" t="n">
        <x:f>MAX(10,ROUNDDOWN((('Calculator'!$B$10+A280)*SQRT('Calculator'!$B$11+B280)*SQRT('Calculator'!$B$12+C280)*0.59740001^2)/10,0))</x:f>
        <x:v>2317</x:v>
      </x:c>
      <x:c r="E280" t="n">
        <x:f>MAX(10,ROUNDDOWN((('Calculator'!$B$10+A280)*SQRT('Calculator'!$B$11+B280)*SQRT('Calculator'!$B$12+C280)*0.667934^2)/10,0))</x:f>
        <x:v>2897</x:v>
      </x:c>
      <x:c r="F280" t="n">
        <x:f>--AND(A280&gt;='Calculator'!$B$5,B280&gt;='Calculator'!$B$5,C280&gt;='Calculator'!$B$5)</x:f>
        <x:v>1</x:v>
      </x:c>
      <x:c r="G280" t="n">
        <x:f>--AND(A280+'Calculator'!$B$6&gt;=15,B280+'Calculator'!$B$6&gt;=15,C280+'Calculator'!$B$6&gt;=15)</x:f>
        <x:v>0</x:v>
      </x:c>
      <x:c r="H280" t="n">
        <x:f>--AND(F280=1,D280='Calculator'!$B$4)</x:f>
        <x:v>0</x:v>
      </x:c>
      <x:c r="I280" t="n">
        <x:f>--AND(H280=1,G280=1)</x:f>
        <x:v>0</x:v>
      </x:c>
      <x:c r="J280" t="n">
        <x:f>--AND(F280=1,E280='Calculator'!$B$4)</x:f>
        <x:v>0</x:v>
      </x:c>
      <x:c r="K280" t="n">
        <x:f>--AND(J280=1,G280=1)</x:f>
        <x:v>0</x:v>
      </x:c>
      <x:c r="L280" t="str">
        <x:f>A280&amp;"/"&amp;B280&amp;"/"&amp;C280</x:f>
        <x:v>8/13/14</x:v>
      </x:c>
      <x:c r="M280" t="str">
        <x:f>MIN(15,A280+'Calculator'!$B$6)&amp;"/"&amp;MIN(15,B280+'Calculator'!$B$6)&amp;"/"&amp;MIN(15,C280+'Calculator'!$B$6)</x:f>
        <x:v>10/15/15</x:v>
      </x:c>
    </x:row>
    <x:row r="281">
      <x:c r="A281" t="n">
        <x:v>8</x:v>
      </x:c>
      <x:c r="B281" t="n">
        <x:v>13</x:v>
      </x:c>
      <x:c r="C281" t="n">
        <x:v>15</x:v>
      </x:c>
      <x:c r="D281" t="n">
        <x:f>MAX(10,ROUNDDOWN((('Calculator'!$B$10+A281)*SQRT('Calculator'!$B$11+B281)*SQRT('Calculator'!$B$12+C281)*0.59740001^2)/10,0))</x:f>
        <x:v>2322</x:v>
      </x:c>
      <x:c r="E281" t="n">
        <x:f>MAX(10,ROUNDDOWN((('Calculator'!$B$10+A281)*SQRT('Calculator'!$B$11+B281)*SQRT('Calculator'!$B$12+C281)*0.667934^2)/10,0))</x:f>
        <x:v>2903</x:v>
      </x:c>
      <x:c r="F281" t="n">
        <x:f>--AND(A281&gt;='Calculator'!$B$5,B281&gt;='Calculator'!$B$5,C281&gt;='Calculator'!$B$5)</x:f>
        <x:v>1</x:v>
      </x:c>
      <x:c r="G281" t="n">
        <x:f>--AND(A281+'Calculator'!$B$6&gt;=15,B281+'Calculator'!$B$6&gt;=15,C281+'Calculator'!$B$6&gt;=15)</x:f>
        <x:v>0</x:v>
      </x:c>
      <x:c r="H281" t="n">
        <x:f>--AND(F281=1,D281='Calculator'!$B$4)</x:f>
        <x:v>0</x:v>
      </x:c>
      <x:c r="I281" t="n">
        <x:f>--AND(H281=1,G281=1)</x:f>
        <x:v>0</x:v>
      </x:c>
      <x:c r="J281" t="n">
        <x:f>--AND(F281=1,E281='Calculator'!$B$4)</x:f>
        <x:v>0</x:v>
      </x:c>
      <x:c r="K281" t="n">
        <x:f>--AND(J281=1,G281=1)</x:f>
        <x:v>0</x:v>
      </x:c>
      <x:c r="L281" t="str">
        <x:f>A281&amp;"/"&amp;B281&amp;"/"&amp;C281</x:f>
        <x:v>8/13/15</x:v>
      </x:c>
      <x:c r="M281" t="str">
        <x:f>MIN(15,A281+'Calculator'!$B$6)&amp;"/"&amp;MIN(15,B281+'Calculator'!$B$6)&amp;"/"&amp;MIN(15,C281+'Calculator'!$B$6)</x:f>
        <x:v>10/15/15</x:v>
      </x:c>
    </x:row>
    <x:row r="282">
      <x:c r="A282" t="n">
        <x:v>8</x:v>
      </x:c>
      <x:c r="B282" t="n">
        <x:v>14</x:v>
      </x:c>
      <x:c r="C282" t="n">
        <x:v>6</x:v>
      </x:c>
      <x:c r="D282" t="n">
        <x:f>MAX(10,ROUNDDOWN((('Calculator'!$B$10+A282)*SQRT('Calculator'!$B$11+B282)*SQRT('Calculator'!$B$12+C282)*0.59740001^2)/10,0))</x:f>
        <x:v>2282</x:v>
      </x:c>
      <x:c r="E282" t="n">
        <x:f>MAX(10,ROUNDDOWN((('Calculator'!$B$10+A282)*SQRT('Calculator'!$B$11+B282)*SQRT('Calculator'!$B$12+C282)*0.667934^2)/10,0))</x:f>
        <x:v>2853</x:v>
      </x:c>
      <x:c r="F282" t="n">
        <x:f>--AND(A282&gt;='Calculator'!$B$5,B282&gt;='Calculator'!$B$5,C282&gt;='Calculator'!$B$5)</x:f>
        <x:v>1</x:v>
      </x:c>
      <x:c r="G282" t="n">
        <x:f>--AND(A282+'Calculator'!$B$6&gt;=15,B282+'Calculator'!$B$6&gt;=15,C282+'Calculator'!$B$6&gt;=15)</x:f>
        <x:v>0</x:v>
      </x:c>
      <x:c r="H282" t="n">
        <x:f>--AND(F282=1,D282='Calculator'!$B$4)</x:f>
        <x:v>0</x:v>
      </x:c>
      <x:c r="I282" t="n">
        <x:f>--AND(H282=1,G282=1)</x:f>
        <x:v>0</x:v>
      </x:c>
      <x:c r="J282" t="n">
        <x:f>--AND(F282=1,E282='Calculator'!$B$4)</x:f>
        <x:v>0</x:v>
      </x:c>
      <x:c r="K282" t="n">
        <x:f>--AND(J282=1,G282=1)</x:f>
        <x:v>0</x:v>
      </x:c>
      <x:c r="L282" t="str">
        <x:f>A282&amp;"/"&amp;B282&amp;"/"&amp;C282</x:f>
        <x:v>8/14/6</x:v>
      </x:c>
      <x:c r="M282" t="str">
        <x:f>MIN(15,A282+'Calculator'!$B$6)&amp;"/"&amp;MIN(15,B282+'Calculator'!$B$6)&amp;"/"&amp;MIN(15,C282+'Calculator'!$B$6)</x:f>
        <x:v>10/15/8</x:v>
      </x:c>
    </x:row>
    <x:row r="283">
      <x:c r="A283" t="n">
        <x:v>8</x:v>
      </x:c>
      <x:c r="B283" t="n">
        <x:v>14</x:v>
      </x:c>
      <x:c r="C283" t="n">
        <x:v>7</x:v>
      </x:c>
      <x:c r="D283" t="n">
        <x:f>MAX(10,ROUNDDOWN((('Calculator'!$B$10+A283)*SQRT('Calculator'!$B$11+B283)*SQRT('Calculator'!$B$12+C283)*0.59740001^2)/10,0))</x:f>
        <x:v>2287</x:v>
      </x:c>
      <x:c r="E283" t="n">
        <x:f>MAX(10,ROUNDDOWN((('Calculator'!$B$10+A283)*SQRT('Calculator'!$B$11+B283)*SQRT('Calculator'!$B$12+C283)*0.667934^2)/10,0))</x:f>
        <x:v>2859</x:v>
      </x:c>
      <x:c r="F283" t="n">
        <x:f>--AND(A283&gt;='Calculator'!$B$5,B283&gt;='Calculator'!$B$5,C283&gt;='Calculator'!$B$5)</x:f>
        <x:v>1</x:v>
      </x:c>
      <x:c r="G283" t="n">
        <x:f>--AND(A283+'Calculator'!$B$6&gt;=15,B283+'Calculator'!$B$6&gt;=15,C283+'Calculator'!$B$6&gt;=15)</x:f>
        <x:v>0</x:v>
      </x:c>
      <x:c r="H283" t="n">
        <x:f>--AND(F283=1,D283='Calculator'!$B$4)</x:f>
        <x:v>0</x:v>
      </x:c>
      <x:c r="I283" t="n">
        <x:f>--AND(H283=1,G283=1)</x:f>
        <x:v>0</x:v>
      </x:c>
      <x:c r="J283" t="n">
        <x:f>--AND(F283=1,E283='Calculator'!$B$4)</x:f>
        <x:v>0</x:v>
      </x:c>
      <x:c r="K283" t="n">
        <x:f>--AND(J283=1,G283=1)</x:f>
        <x:v>0</x:v>
      </x:c>
      <x:c r="L283" t="str">
        <x:f>A283&amp;"/"&amp;B283&amp;"/"&amp;C283</x:f>
        <x:v>8/14/7</x:v>
      </x:c>
      <x:c r="M283" t="str">
        <x:f>MIN(15,A283+'Calculator'!$B$6)&amp;"/"&amp;MIN(15,B283+'Calculator'!$B$6)&amp;"/"&amp;MIN(15,C283+'Calculator'!$B$6)</x:f>
        <x:v>10/15/9</x:v>
      </x:c>
    </x:row>
    <x:row r="284">
      <x:c r="A284" t="n">
        <x:v>8</x:v>
      </x:c>
      <x:c r="B284" t="n">
        <x:v>14</x:v>
      </x:c>
      <x:c r="C284" t="n">
        <x:v>8</x:v>
      </x:c>
      <x:c r="D284" t="n">
        <x:f>MAX(10,ROUNDDOWN((('Calculator'!$B$10+A284)*SQRT('Calculator'!$B$11+B284)*SQRT('Calculator'!$B$12+C284)*0.59740001^2)/10,0))</x:f>
        <x:v>2292</x:v>
      </x:c>
      <x:c r="E284" t="n">
        <x:f>MAX(10,ROUNDDOWN((('Calculator'!$B$10+A284)*SQRT('Calculator'!$B$11+B284)*SQRT('Calculator'!$B$12+C284)*0.667934^2)/10,0))</x:f>
        <x:v>2866</x:v>
      </x:c>
      <x:c r="F284" t="n">
        <x:f>--AND(A284&gt;='Calculator'!$B$5,B284&gt;='Calculator'!$B$5,C284&gt;='Calculator'!$B$5)</x:f>
        <x:v>1</x:v>
      </x:c>
      <x:c r="G284" t="n">
        <x:f>--AND(A284+'Calculator'!$B$6&gt;=15,B284+'Calculator'!$B$6&gt;=15,C284+'Calculator'!$B$6&gt;=15)</x:f>
        <x:v>0</x:v>
      </x:c>
      <x:c r="H284" t="n">
        <x:f>--AND(F284=1,D284='Calculator'!$B$4)</x:f>
        <x:v>0</x:v>
      </x:c>
      <x:c r="I284" t="n">
        <x:f>--AND(H284=1,G284=1)</x:f>
        <x:v>0</x:v>
      </x:c>
      <x:c r="J284" t="n">
        <x:f>--AND(F284=1,E284='Calculator'!$B$4)</x:f>
        <x:v>0</x:v>
      </x:c>
      <x:c r="K284" t="n">
        <x:f>--AND(J284=1,G284=1)</x:f>
        <x:v>0</x:v>
      </x:c>
      <x:c r="L284" t="str">
        <x:f>A284&amp;"/"&amp;B284&amp;"/"&amp;C284</x:f>
        <x:v>8/14/8</x:v>
      </x:c>
      <x:c r="M284" t="str">
        <x:f>MIN(15,A284+'Calculator'!$B$6)&amp;"/"&amp;MIN(15,B284+'Calculator'!$B$6)&amp;"/"&amp;MIN(15,C284+'Calculator'!$B$6)</x:f>
        <x:v>10/15/10</x:v>
      </x:c>
    </x:row>
    <x:row r="285">
      <x:c r="A285" t="n">
        <x:v>8</x:v>
      </x:c>
      <x:c r="B285" t="n">
        <x:v>14</x:v>
      </x:c>
      <x:c r="C285" t="n">
        <x:v>9</x:v>
      </x:c>
      <x:c r="D285" t="n">
        <x:f>MAX(10,ROUNDDOWN((('Calculator'!$B$10+A285)*SQRT('Calculator'!$B$11+B285)*SQRT('Calculator'!$B$12+C285)*0.59740001^2)/10,0))</x:f>
        <x:v>2298</x:v>
      </x:c>
      <x:c r="E285" t="n">
        <x:f>MAX(10,ROUNDDOWN((('Calculator'!$B$10+A285)*SQRT('Calculator'!$B$11+B285)*SQRT('Calculator'!$B$12+C285)*0.667934^2)/10,0))</x:f>
        <x:v>2872</x:v>
      </x:c>
      <x:c r="F285" t="n">
        <x:f>--AND(A285&gt;='Calculator'!$B$5,B285&gt;='Calculator'!$B$5,C285&gt;='Calculator'!$B$5)</x:f>
        <x:v>1</x:v>
      </x:c>
      <x:c r="G285" t="n">
        <x:f>--AND(A285+'Calculator'!$B$6&gt;=15,B285+'Calculator'!$B$6&gt;=15,C285+'Calculator'!$B$6&gt;=15)</x:f>
        <x:v>0</x:v>
      </x:c>
      <x:c r="H285" t="n">
        <x:f>--AND(F285=1,D285='Calculator'!$B$4)</x:f>
        <x:v>0</x:v>
      </x:c>
      <x:c r="I285" t="n">
        <x:f>--AND(H285=1,G285=1)</x:f>
        <x:v>0</x:v>
      </x:c>
      <x:c r="J285" t="n">
        <x:f>--AND(F285=1,E285='Calculator'!$B$4)</x:f>
        <x:v>0</x:v>
      </x:c>
      <x:c r="K285" t="n">
        <x:f>--AND(J285=1,G285=1)</x:f>
        <x:v>0</x:v>
      </x:c>
      <x:c r="L285" t="str">
        <x:f>A285&amp;"/"&amp;B285&amp;"/"&amp;C285</x:f>
        <x:v>8/14/9</x:v>
      </x:c>
      <x:c r="M285" t="str">
        <x:f>MIN(15,A285+'Calculator'!$B$6)&amp;"/"&amp;MIN(15,B285+'Calculator'!$B$6)&amp;"/"&amp;MIN(15,C285+'Calculator'!$B$6)</x:f>
        <x:v>10/15/11</x:v>
      </x:c>
    </x:row>
    <x:row r="286">
      <x:c r="A286" t="n">
        <x:v>8</x:v>
      </x:c>
      <x:c r="B286" t="n">
        <x:v>14</x:v>
      </x:c>
      <x:c r="C286" t="n">
        <x:v>10</x:v>
      </x:c>
      <x:c r="D286" t="n">
        <x:f>MAX(10,ROUNDDOWN((('Calculator'!$B$10+A286)*SQRT('Calculator'!$B$11+B286)*SQRT('Calculator'!$B$12+C286)*0.59740001^2)/10,0))</x:f>
        <x:v>2303</x:v>
      </x:c>
      <x:c r="E286" t="n">
        <x:f>MAX(10,ROUNDDOWN((('Calculator'!$B$10+A286)*SQRT('Calculator'!$B$11+B286)*SQRT('Calculator'!$B$12+C286)*0.667934^2)/10,0))</x:f>
        <x:v>2879</x:v>
      </x:c>
      <x:c r="F286" t="n">
        <x:f>--AND(A286&gt;='Calculator'!$B$5,B286&gt;='Calculator'!$B$5,C286&gt;='Calculator'!$B$5)</x:f>
        <x:v>1</x:v>
      </x:c>
      <x:c r="G286" t="n">
        <x:f>--AND(A286+'Calculator'!$B$6&gt;=15,B286+'Calculator'!$B$6&gt;=15,C286+'Calculator'!$B$6&gt;=15)</x:f>
        <x:v>0</x:v>
      </x:c>
      <x:c r="H286" t="n">
        <x:f>--AND(F286=1,D286='Calculator'!$B$4)</x:f>
        <x:v>0</x:v>
      </x:c>
      <x:c r="I286" t="n">
        <x:f>--AND(H286=1,G286=1)</x:f>
        <x:v>0</x:v>
      </x:c>
      <x:c r="J286" t="n">
        <x:f>--AND(F286=1,E286='Calculator'!$B$4)</x:f>
        <x:v>0</x:v>
      </x:c>
      <x:c r="K286" t="n">
        <x:f>--AND(J286=1,G286=1)</x:f>
        <x:v>0</x:v>
      </x:c>
      <x:c r="L286" t="str">
        <x:f>A286&amp;"/"&amp;B286&amp;"/"&amp;C286</x:f>
        <x:v>8/14/10</x:v>
      </x:c>
      <x:c r="M286" t="str">
        <x:f>MIN(15,A286+'Calculator'!$B$6)&amp;"/"&amp;MIN(15,B286+'Calculator'!$B$6)&amp;"/"&amp;MIN(15,C286+'Calculator'!$B$6)</x:f>
        <x:v>10/15/12</x:v>
      </x:c>
    </x:row>
    <x:row r="287">
      <x:c r="A287" t="n">
        <x:v>8</x:v>
      </x:c>
      <x:c r="B287" t="n">
        <x:v>14</x:v>
      </x:c>
      <x:c r="C287" t="n">
        <x:v>11</x:v>
      </x:c>
      <x:c r="D287" t="n">
        <x:f>MAX(10,ROUNDDOWN((('Calculator'!$B$10+A287)*SQRT('Calculator'!$B$11+B287)*SQRT('Calculator'!$B$12+C287)*0.59740001^2)/10,0))</x:f>
        <x:v>2308</x:v>
      </x:c>
      <x:c r="E287" t="n">
        <x:f>MAX(10,ROUNDDOWN((('Calculator'!$B$10+A287)*SQRT('Calculator'!$B$11+B287)*SQRT('Calculator'!$B$12+C287)*0.667934^2)/10,0))</x:f>
        <x:v>2885</x:v>
      </x:c>
      <x:c r="F287" t="n">
        <x:f>--AND(A287&gt;='Calculator'!$B$5,B287&gt;='Calculator'!$B$5,C287&gt;='Calculator'!$B$5)</x:f>
        <x:v>1</x:v>
      </x:c>
      <x:c r="G287" t="n">
        <x:f>--AND(A287+'Calculator'!$B$6&gt;=15,B287+'Calculator'!$B$6&gt;=15,C287+'Calculator'!$B$6&gt;=15)</x:f>
        <x:v>0</x:v>
      </x:c>
      <x:c r="H287" t="n">
        <x:f>--AND(F287=1,D287='Calculator'!$B$4)</x:f>
        <x:v>0</x:v>
      </x:c>
      <x:c r="I287" t="n">
        <x:f>--AND(H287=1,G287=1)</x:f>
        <x:v>0</x:v>
      </x:c>
      <x:c r="J287" t="n">
        <x:f>--AND(F287=1,E287='Calculator'!$B$4)</x:f>
        <x:v>0</x:v>
      </x:c>
      <x:c r="K287" t="n">
        <x:f>--AND(J287=1,G287=1)</x:f>
        <x:v>0</x:v>
      </x:c>
      <x:c r="L287" t="str">
        <x:f>A287&amp;"/"&amp;B287&amp;"/"&amp;C287</x:f>
        <x:v>8/14/11</x:v>
      </x:c>
      <x:c r="M287" t="str">
        <x:f>MIN(15,A287+'Calculator'!$B$6)&amp;"/"&amp;MIN(15,B287+'Calculator'!$B$6)&amp;"/"&amp;MIN(15,C287+'Calculator'!$B$6)</x:f>
        <x:v>10/15/13</x:v>
      </x:c>
    </x:row>
    <x:row r="288">
      <x:c r="A288" t="n">
        <x:v>8</x:v>
      </x:c>
      <x:c r="B288" t="n">
        <x:v>14</x:v>
      </x:c>
      <x:c r="C288" t="n">
        <x:v>12</x:v>
      </x:c>
      <x:c r="D288" t="n">
        <x:f>MAX(10,ROUNDDOWN((('Calculator'!$B$10+A288)*SQRT('Calculator'!$B$11+B288)*SQRT('Calculator'!$B$12+C288)*0.59740001^2)/10,0))</x:f>
        <x:v>2313</x:v>
      </x:c>
      <x:c r="E288" t="n">
        <x:f>MAX(10,ROUNDDOWN((('Calculator'!$B$10+A288)*SQRT('Calculator'!$B$11+B288)*SQRT('Calculator'!$B$12+C288)*0.667934^2)/10,0))</x:f>
        <x:v>2892</x:v>
      </x:c>
      <x:c r="F288" t="n">
        <x:f>--AND(A288&gt;='Calculator'!$B$5,B288&gt;='Calculator'!$B$5,C288&gt;='Calculator'!$B$5)</x:f>
        <x:v>1</x:v>
      </x:c>
      <x:c r="G288" t="n">
        <x:f>--AND(A288+'Calculator'!$B$6&gt;=15,B288+'Calculator'!$B$6&gt;=15,C288+'Calculator'!$B$6&gt;=15)</x:f>
        <x:v>0</x:v>
      </x:c>
      <x:c r="H288" t="n">
        <x:f>--AND(F288=1,D288='Calculator'!$B$4)</x:f>
        <x:v>0</x:v>
      </x:c>
      <x:c r="I288" t="n">
        <x:f>--AND(H288=1,G288=1)</x:f>
        <x:v>0</x:v>
      </x:c>
      <x:c r="J288" t="n">
        <x:f>--AND(F288=1,E288='Calculator'!$B$4)</x:f>
        <x:v>0</x:v>
      </x:c>
      <x:c r="K288" t="n">
        <x:f>--AND(J288=1,G288=1)</x:f>
        <x:v>0</x:v>
      </x:c>
      <x:c r="L288" t="str">
        <x:f>A288&amp;"/"&amp;B288&amp;"/"&amp;C288</x:f>
        <x:v>8/14/12</x:v>
      </x:c>
      <x:c r="M288" t="str">
        <x:f>MIN(15,A288+'Calculator'!$B$6)&amp;"/"&amp;MIN(15,B288+'Calculator'!$B$6)&amp;"/"&amp;MIN(15,C288+'Calculator'!$B$6)</x:f>
        <x:v>10/15/14</x:v>
      </x:c>
    </x:row>
    <x:row r="289">
      <x:c r="A289" t="n">
        <x:v>8</x:v>
      </x:c>
      <x:c r="B289" t="n">
        <x:v>14</x:v>
      </x:c>
      <x:c r="C289" t="n">
        <x:v>13</x:v>
      </x:c>
      <x:c r="D289" t="n">
        <x:f>MAX(10,ROUNDDOWN((('Calculator'!$B$10+A289)*SQRT('Calculator'!$B$11+B289)*SQRT('Calculator'!$B$12+C289)*0.59740001^2)/10,0))</x:f>
        <x:v>2318</x:v>
      </x:c>
      <x:c r="E289" t="n">
        <x:f>MAX(10,ROUNDDOWN((('Calculator'!$B$10+A289)*SQRT('Calculator'!$B$11+B289)*SQRT('Calculator'!$B$12+C289)*0.667934^2)/10,0))</x:f>
        <x:v>2898</x:v>
      </x:c>
      <x:c r="F289" t="n">
        <x:f>--AND(A289&gt;='Calculator'!$B$5,B289&gt;='Calculator'!$B$5,C289&gt;='Calculator'!$B$5)</x:f>
        <x:v>1</x:v>
      </x:c>
      <x:c r="G289" t="n">
        <x:f>--AND(A289+'Calculator'!$B$6&gt;=15,B289+'Calculator'!$B$6&gt;=15,C289+'Calculator'!$B$6&gt;=15)</x:f>
        <x:v>0</x:v>
      </x:c>
      <x:c r="H289" t="n">
        <x:f>--AND(F289=1,D289='Calculator'!$B$4)</x:f>
        <x:v>0</x:v>
      </x:c>
      <x:c r="I289" t="n">
        <x:f>--AND(H289=1,G289=1)</x:f>
        <x:v>0</x:v>
      </x:c>
      <x:c r="J289" t="n">
        <x:f>--AND(F289=1,E289='Calculator'!$B$4)</x:f>
        <x:v>0</x:v>
      </x:c>
      <x:c r="K289" t="n">
        <x:f>--AND(J289=1,G289=1)</x:f>
        <x:v>0</x:v>
      </x:c>
      <x:c r="L289" t="str">
        <x:f>A289&amp;"/"&amp;B289&amp;"/"&amp;C289</x:f>
        <x:v>8/14/13</x:v>
      </x:c>
      <x:c r="M289" t="str">
        <x:f>MIN(15,A289+'Calculator'!$B$6)&amp;"/"&amp;MIN(15,B289+'Calculator'!$B$6)&amp;"/"&amp;MIN(15,C289+'Calculator'!$B$6)</x:f>
        <x:v>10/15/15</x:v>
      </x:c>
    </x:row>
    <x:row r="290">
      <x:c r="A290" t="n">
        <x:v>8</x:v>
      </x:c>
      <x:c r="B290" t="n">
        <x:v>14</x:v>
      </x:c>
      <x:c r="C290" t="n">
        <x:v>14</x:v>
      </x:c>
      <x:c r="D290" t="n">
        <x:f>MAX(10,ROUNDDOWN((('Calculator'!$B$10+A290)*SQRT('Calculator'!$B$11+B290)*SQRT('Calculator'!$B$12+C290)*0.59740001^2)/10,0))</x:f>
        <x:v>2323</x:v>
      </x:c>
      <x:c r="E290" t="n">
        <x:f>MAX(10,ROUNDDOWN((('Calculator'!$B$10+A290)*SQRT('Calculator'!$B$11+B290)*SQRT('Calculator'!$B$12+C290)*0.667934^2)/10,0))</x:f>
        <x:v>2904</x:v>
      </x:c>
      <x:c r="F290" t="n">
        <x:f>--AND(A290&gt;='Calculator'!$B$5,B290&gt;='Calculator'!$B$5,C290&gt;='Calculator'!$B$5)</x:f>
        <x:v>1</x:v>
      </x:c>
      <x:c r="G290" t="n">
        <x:f>--AND(A290+'Calculator'!$B$6&gt;=15,B290+'Calculator'!$B$6&gt;=15,C290+'Calculator'!$B$6&gt;=15)</x:f>
        <x:v>0</x:v>
      </x:c>
      <x:c r="H290" t="n">
        <x:f>--AND(F290=1,D290='Calculator'!$B$4)</x:f>
        <x:v>0</x:v>
      </x:c>
      <x:c r="I290" t="n">
        <x:f>--AND(H290=1,G290=1)</x:f>
        <x:v>0</x:v>
      </x:c>
      <x:c r="J290" t="n">
        <x:f>--AND(F290=1,E290='Calculator'!$B$4)</x:f>
        <x:v>0</x:v>
      </x:c>
      <x:c r="K290" t="n">
        <x:f>--AND(J290=1,G290=1)</x:f>
        <x:v>0</x:v>
      </x:c>
      <x:c r="L290" t="str">
        <x:f>A290&amp;"/"&amp;B290&amp;"/"&amp;C290</x:f>
        <x:v>8/14/14</x:v>
      </x:c>
      <x:c r="M290" t="str">
        <x:f>MIN(15,A290+'Calculator'!$B$6)&amp;"/"&amp;MIN(15,B290+'Calculator'!$B$6)&amp;"/"&amp;MIN(15,C290+'Calculator'!$B$6)</x:f>
        <x:v>10/15/15</x:v>
      </x:c>
    </x:row>
    <x:row r="291">
      <x:c r="A291" t="n">
        <x:v>8</x:v>
      </x:c>
      <x:c r="B291" t="n">
        <x:v>14</x:v>
      </x:c>
      <x:c r="C291" t="n">
        <x:v>15</x:v>
      </x:c>
      <x:c r="D291" t="n">
        <x:f>MAX(10,ROUNDDOWN((('Calculator'!$B$10+A291)*SQRT('Calculator'!$B$11+B291)*SQRT('Calculator'!$B$12+C291)*0.59740001^2)/10,0))</x:f>
        <x:v>2328</x:v>
      </x:c>
      <x:c r="E291" t="n">
        <x:f>MAX(10,ROUNDDOWN((('Calculator'!$B$10+A291)*SQRT('Calculator'!$B$11+B291)*SQRT('Calculator'!$B$12+C291)*0.667934^2)/10,0))</x:f>
        <x:v>2911</x:v>
      </x:c>
      <x:c r="F291" t="n">
        <x:f>--AND(A291&gt;='Calculator'!$B$5,B291&gt;='Calculator'!$B$5,C291&gt;='Calculator'!$B$5)</x:f>
        <x:v>1</x:v>
      </x:c>
      <x:c r="G291" t="n">
        <x:f>--AND(A291+'Calculator'!$B$6&gt;=15,B291+'Calculator'!$B$6&gt;=15,C291+'Calculator'!$B$6&gt;=15)</x:f>
        <x:v>0</x:v>
      </x:c>
      <x:c r="H291" t="n">
        <x:f>--AND(F291=1,D291='Calculator'!$B$4)</x:f>
        <x:v>0</x:v>
      </x:c>
      <x:c r="I291" t="n">
        <x:f>--AND(H291=1,G291=1)</x:f>
        <x:v>0</x:v>
      </x:c>
      <x:c r="J291" t="n">
        <x:f>--AND(F291=1,E291='Calculator'!$B$4)</x:f>
        <x:v>0</x:v>
      </x:c>
      <x:c r="K291" t="n">
        <x:f>--AND(J291=1,G291=1)</x:f>
        <x:v>0</x:v>
      </x:c>
      <x:c r="L291" t="str">
        <x:f>A291&amp;"/"&amp;B291&amp;"/"&amp;C291</x:f>
        <x:v>8/14/15</x:v>
      </x:c>
      <x:c r="M291" t="str">
        <x:f>MIN(15,A291+'Calculator'!$B$6)&amp;"/"&amp;MIN(15,B291+'Calculator'!$B$6)&amp;"/"&amp;MIN(15,C291+'Calculator'!$B$6)</x:f>
        <x:v>10/15/15</x:v>
      </x:c>
    </x:row>
    <x:row r="292">
      <x:c r="A292" t="n">
        <x:v>8</x:v>
      </x:c>
      <x:c r="B292" t="n">
        <x:v>15</x:v>
      </x:c>
      <x:c r="C292" t="n">
        <x:v>6</x:v>
      </x:c>
      <x:c r="D292" t="n">
        <x:f>MAX(10,ROUNDDOWN((('Calculator'!$B$10+A292)*SQRT('Calculator'!$B$11+B292)*SQRT('Calculator'!$B$12+C292)*0.59740001^2)/10,0))</x:f>
        <x:v>2288</x:v>
      </x:c>
      <x:c r="E292" t="n">
        <x:f>MAX(10,ROUNDDOWN((('Calculator'!$B$10+A292)*SQRT('Calculator'!$B$11+B292)*SQRT('Calculator'!$B$12+C292)*0.667934^2)/10,0))</x:f>
        <x:v>2860</x:v>
      </x:c>
      <x:c r="F292" t="n">
        <x:f>--AND(A292&gt;='Calculator'!$B$5,B292&gt;='Calculator'!$B$5,C292&gt;='Calculator'!$B$5)</x:f>
        <x:v>1</x:v>
      </x:c>
      <x:c r="G292" t="n">
        <x:f>--AND(A292+'Calculator'!$B$6&gt;=15,B292+'Calculator'!$B$6&gt;=15,C292+'Calculator'!$B$6&gt;=15)</x:f>
        <x:v>0</x:v>
      </x:c>
      <x:c r="H292" t="n">
        <x:f>--AND(F292=1,D292='Calculator'!$B$4)</x:f>
        <x:v>0</x:v>
      </x:c>
      <x:c r="I292" t="n">
        <x:f>--AND(H292=1,G292=1)</x:f>
        <x:v>0</x:v>
      </x:c>
      <x:c r="J292" t="n">
        <x:f>--AND(F292=1,E292='Calculator'!$B$4)</x:f>
        <x:v>0</x:v>
      </x:c>
      <x:c r="K292" t="n">
        <x:f>--AND(J292=1,G292=1)</x:f>
        <x:v>0</x:v>
      </x:c>
      <x:c r="L292" t="str">
        <x:f>A292&amp;"/"&amp;B292&amp;"/"&amp;C292</x:f>
        <x:v>8/15/6</x:v>
      </x:c>
      <x:c r="M292" t="str">
        <x:f>MIN(15,A292+'Calculator'!$B$6)&amp;"/"&amp;MIN(15,B292+'Calculator'!$B$6)&amp;"/"&amp;MIN(15,C292+'Calculator'!$B$6)</x:f>
        <x:v>10/15/8</x:v>
      </x:c>
    </x:row>
    <x:row r="293">
      <x:c r="A293" t="n">
        <x:v>8</x:v>
      </x:c>
      <x:c r="B293" t="n">
        <x:v>15</x:v>
      </x:c>
      <x:c r="C293" t="n">
        <x:v>7</x:v>
      </x:c>
      <x:c r="D293" t="n">
        <x:f>MAX(10,ROUNDDOWN((('Calculator'!$B$10+A293)*SQRT('Calculator'!$B$11+B293)*SQRT('Calculator'!$B$12+C293)*0.59740001^2)/10,0))</x:f>
        <x:v>2293</x:v>
      </x:c>
      <x:c r="E293" t="n">
        <x:f>MAX(10,ROUNDDOWN((('Calculator'!$B$10+A293)*SQRT('Calculator'!$B$11+B293)*SQRT('Calculator'!$B$12+C293)*0.667934^2)/10,0))</x:f>
        <x:v>2867</x:v>
      </x:c>
      <x:c r="F293" t="n">
        <x:f>--AND(A293&gt;='Calculator'!$B$5,B293&gt;='Calculator'!$B$5,C293&gt;='Calculator'!$B$5)</x:f>
        <x:v>1</x:v>
      </x:c>
      <x:c r="G293" t="n">
        <x:f>--AND(A293+'Calculator'!$B$6&gt;=15,B293+'Calculator'!$B$6&gt;=15,C293+'Calculator'!$B$6&gt;=15)</x:f>
        <x:v>0</x:v>
      </x:c>
      <x:c r="H293" t="n">
        <x:f>--AND(F293=1,D293='Calculator'!$B$4)</x:f>
        <x:v>0</x:v>
      </x:c>
      <x:c r="I293" t="n">
        <x:f>--AND(H293=1,G293=1)</x:f>
        <x:v>0</x:v>
      </x:c>
      <x:c r="J293" t="n">
        <x:f>--AND(F293=1,E293='Calculator'!$B$4)</x:f>
        <x:v>0</x:v>
      </x:c>
      <x:c r="K293" t="n">
        <x:f>--AND(J293=1,G293=1)</x:f>
        <x:v>0</x:v>
      </x:c>
      <x:c r="L293" t="str">
        <x:f>A293&amp;"/"&amp;B293&amp;"/"&amp;C293</x:f>
        <x:v>8/15/7</x:v>
      </x:c>
      <x:c r="M293" t="str">
        <x:f>MIN(15,A293+'Calculator'!$B$6)&amp;"/"&amp;MIN(15,B293+'Calculator'!$B$6)&amp;"/"&amp;MIN(15,C293+'Calculator'!$B$6)</x:f>
        <x:v>10/15/9</x:v>
      </x:c>
    </x:row>
    <x:row r="294">
      <x:c r="A294" t="n">
        <x:v>8</x:v>
      </x:c>
      <x:c r="B294" t="n">
        <x:v>15</x:v>
      </x:c>
      <x:c r="C294" t="n">
        <x:v>8</x:v>
      </x:c>
      <x:c r="D294" t="n">
        <x:f>MAX(10,ROUNDDOWN((('Calculator'!$B$10+A294)*SQRT('Calculator'!$B$11+B294)*SQRT('Calculator'!$B$12+C294)*0.59740001^2)/10,0))</x:f>
        <x:v>2298</x:v>
      </x:c>
      <x:c r="E294" t="n">
        <x:f>MAX(10,ROUNDDOWN((('Calculator'!$B$10+A294)*SQRT('Calculator'!$B$11+B294)*SQRT('Calculator'!$B$12+C294)*0.667934^2)/10,0))</x:f>
        <x:v>2873</x:v>
      </x:c>
      <x:c r="F294" t="n">
        <x:f>--AND(A294&gt;='Calculator'!$B$5,B294&gt;='Calculator'!$B$5,C294&gt;='Calculator'!$B$5)</x:f>
        <x:v>1</x:v>
      </x:c>
      <x:c r="G294" t="n">
        <x:f>--AND(A294+'Calculator'!$B$6&gt;=15,B294+'Calculator'!$B$6&gt;=15,C294+'Calculator'!$B$6&gt;=15)</x:f>
        <x:v>0</x:v>
      </x:c>
      <x:c r="H294" t="n">
        <x:f>--AND(F294=1,D294='Calculator'!$B$4)</x:f>
        <x:v>0</x:v>
      </x:c>
      <x:c r="I294" t="n">
        <x:f>--AND(H294=1,G294=1)</x:f>
        <x:v>0</x:v>
      </x:c>
      <x:c r="J294" t="n">
        <x:f>--AND(F294=1,E294='Calculator'!$B$4)</x:f>
        <x:v>0</x:v>
      </x:c>
      <x:c r="K294" t="n">
        <x:f>--AND(J294=1,G294=1)</x:f>
        <x:v>0</x:v>
      </x:c>
      <x:c r="L294" t="str">
        <x:f>A294&amp;"/"&amp;B294&amp;"/"&amp;C294</x:f>
        <x:v>8/15/8</x:v>
      </x:c>
      <x:c r="M294" t="str">
        <x:f>MIN(15,A294+'Calculator'!$B$6)&amp;"/"&amp;MIN(15,B294+'Calculator'!$B$6)&amp;"/"&amp;MIN(15,C294+'Calculator'!$B$6)</x:f>
        <x:v>10/15/10</x:v>
      </x:c>
    </x:row>
    <x:row r="295">
      <x:c r="A295" t="n">
        <x:v>8</x:v>
      </x:c>
      <x:c r="B295" t="n">
        <x:v>15</x:v>
      </x:c>
      <x:c r="C295" t="n">
        <x:v>9</x:v>
      </x:c>
      <x:c r="D295" t="n">
        <x:f>MAX(10,ROUNDDOWN((('Calculator'!$B$10+A295)*SQRT('Calculator'!$B$11+B295)*SQRT('Calculator'!$B$12+C295)*0.59740001^2)/10,0))</x:f>
        <x:v>2303</x:v>
      </x:c>
      <x:c r="E295" t="n">
        <x:f>MAX(10,ROUNDDOWN((('Calculator'!$B$10+A295)*SQRT('Calculator'!$B$11+B295)*SQRT('Calculator'!$B$12+C295)*0.667934^2)/10,0))</x:f>
        <x:v>2880</x:v>
      </x:c>
      <x:c r="F295" t="n">
        <x:f>--AND(A295&gt;='Calculator'!$B$5,B295&gt;='Calculator'!$B$5,C295&gt;='Calculator'!$B$5)</x:f>
        <x:v>1</x:v>
      </x:c>
      <x:c r="G295" t="n">
        <x:f>--AND(A295+'Calculator'!$B$6&gt;=15,B295+'Calculator'!$B$6&gt;=15,C295+'Calculator'!$B$6&gt;=15)</x:f>
        <x:v>0</x:v>
      </x:c>
      <x:c r="H295" t="n">
        <x:f>--AND(F295=1,D295='Calculator'!$B$4)</x:f>
        <x:v>0</x:v>
      </x:c>
      <x:c r="I295" t="n">
        <x:f>--AND(H295=1,G295=1)</x:f>
        <x:v>0</x:v>
      </x:c>
      <x:c r="J295" t="n">
        <x:f>--AND(F295=1,E295='Calculator'!$B$4)</x:f>
        <x:v>0</x:v>
      </x:c>
      <x:c r="K295" t="n">
        <x:f>--AND(J295=1,G295=1)</x:f>
        <x:v>0</x:v>
      </x:c>
      <x:c r="L295" t="str">
        <x:f>A295&amp;"/"&amp;B295&amp;"/"&amp;C295</x:f>
        <x:v>8/15/9</x:v>
      </x:c>
      <x:c r="M295" t="str">
        <x:f>MIN(15,A295+'Calculator'!$B$6)&amp;"/"&amp;MIN(15,B295+'Calculator'!$B$6)&amp;"/"&amp;MIN(15,C295+'Calculator'!$B$6)</x:f>
        <x:v>10/15/11</x:v>
      </x:c>
    </x:row>
    <x:row r="296">
      <x:c r="A296" t="n">
        <x:v>8</x:v>
      </x:c>
      <x:c r="B296" t="n">
        <x:v>15</x:v>
      </x:c>
      <x:c r="C296" t="n">
        <x:v>10</x:v>
      </x:c>
      <x:c r="D296" t="n">
        <x:f>MAX(10,ROUNDDOWN((('Calculator'!$B$10+A296)*SQRT('Calculator'!$B$11+B296)*SQRT('Calculator'!$B$12+C296)*0.59740001^2)/10,0))</x:f>
        <x:v>2309</x:v>
      </x:c>
      <x:c r="E296" t="n">
        <x:f>MAX(10,ROUNDDOWN((('Calculator'!$B$10+A296)*SQRT('Calculator'!$B$11+B296)*SQRT('Calculator'!$B$12+C296)*0.667934^2)/10,0))</x:f>
        <x:v>2886</x:v>
      </x:c>
      <x:c r="F296" t="n">
        <x:f>--AND(A296&gt;='Calculator'!$B$5,B296&gt;='Calculator'!$B$5,C296&gt;='Calculator'!$B$5)</x:f>
        <x:v>1</x:v>
      </x:c>
      <x:c r="G296" t="n">
        <x:f>--AND(A296+'Calculator'!$B$6&gt;=15,B296+'Calculator'!$B$6&gt;=15,C296+'Calculator'!$B$6&gt;=15)</x:f>
        <x:v>0</x:v>
      </x:c>
      <x:c r="H296" t="n">
        <x:f>--AND(F296=1,D296='Calculator'!$B$4)</x:f>
        <x:v>0</x:v>
      </x:c>
      <x:c r="I296" t="n">
        <x:f>--AND(H296=1,G296=1)</x:f>
        <x:v>0</x:v>
      </x:c>
      <x:c r="J296" t="n">
        <x:f>--AND(F296=1,E296='Calculator'!$B$4)</x:f>
        <x:v>0</x:v>
      </x:c>
      <x:c r="K296" t="n">
        <x:f>--AND(J296=1,G296=1)</x:f>
        <x:v>0</x:v>
      </x:c>
      <x:c r="L296" t="str">
        <x:f>A296&amp;"/"&amp;B296&amp;"/"&amp;C296</x:f>
        <x:v>8/15/10</x:v>
      </x:c>
      <x:c r="M296" t="str">
        <x:f>MIN(15,A296+'Calculator'!$B$6)&amp;"/"&amp;MIN(15,B296+'Calculator'!$B$6)&amp;"/"&amp;MIN(15,C296+'Calculator'!$B$6)</x:f>
        <x:v>10/15/12</x:v>
      </x:c>
    </x:row>
    <x:row r="297">
      <x:c r="A297" t="n">
        <x:v>8</x:v>
      </x:c>
      <x:c r="B297" t="n">
        <x:v>15</x:v>
      </x:c>
      <x:c r="C297" t="n">
        <x:v>11</x:v>
      </x:c>
      <x:c r="D297" t="n">
        <x:f>MAX(10,ROUNDDOWN((('Calculator'!$B$10+A297)*SQRT('Calculator'!$B$11+B297)*SQRT('Calculator'!$B$12+C297)*0.59740001^2)/10,0))</x:f>
        <x:v>2314</x:v>
      </x:c>
      <x:c r="E297" t="n">
        <x:f>MAX(10,ROUNDDOWN((('Calculator'!$B$10+A297)*SQRT('Calculator'!$B$11+B297)*SQRT('Calculator'!$B$12+C297)*0.667934^2)/10,0))</x:f>
        <x:v>2892</x:v>
      </x:c>
      <x:c r="F297" t="n">
        <x:f>--AND(A297&gt;='Calculator'!$B$5,B297&gt;='Calculator'!$B$5,C297&gt;='Calculator'!$B$5)</x:f>
        <x:v>1</x:v>
      </x:c>
      <x:c r="G297" t="n">
        <x:f>--AND(A297+'Calculator'!$B$6&gt;=15,B297+'Calculator'!$B$6&gt;=15,C297+'Calculator'!$B$6&gt;=15)</x:f>
        <x:v>0</x:v>
      </x:c>
      <x:c r="H297" t="n">
        <x:f>--AND(F297=1,D297='Calculator'!$B$4)</x:f>
        <x:v>0</x:v>
      </x:c>
      <x:c r="I297" t="n">
        <x:f>--AND(H297=1,G297=1)</x:f>
        <x:v>0</x:v>
      </x:c>
      <x:c r="J297" t="n">
        <x:f>--AND(F297=1,E297='Calculator'!$B$4)</x:f>
        <x:v>0</x:v>
      </x:c>
      <x:c r="K297" t="n">
        <x:f>--AND(J297=1,G297=1)</x:f>
        <x:v>0</x:v>
      </x:c>
      <x:c r="L297" t="str">
        <x:f>A297&amp;"/"&amp;B297&amp;"/"&amp;C297</x:f>
        <x:v>8/15/11</x:v>
      </x:c>
      <x:c r="M297" t="str">
        <x:f>MIN(15,A297+'Calculator'!$B$6)&amp;"/"&amp;MIN(15,B297+'Calculator'!$B$6)&amp;"/"&amp;MIN(15,C297+'Calculator'!$B$6)</x:f>
        <x:v>10/15/13</x:v>
      </x:c>
    </x:row>
    <x:row r="298">
      <x:c r="A298" t="n">
        <x:v>8</x:v>
      </x:c>
      <x:c r="B298" t="n">
        <x:v>15</x:v>
      </x:c>
      <x:c r="C298" t="n">
        <x:v>12</x:v>
      </x:c>
      <x:c r="D298" t="n">
        <x:f>MAX(10,ROUNDDOWN((('Calculator'!$B$10+A298)*SQRT('Calculator'!$B$11+B298)*SQRT('Calculator'!$B$12+C298)*0.59740001^2)/10,0))</x:f>
        <x:v>2319</x:v>
      </x:c>
      <x:c r="E298" t="n">
        <x:f>MAX(10,ROUNDDOWN((('Calculator'!$B$10+A298)*SQRT('Calculator'!$B$11+B298)*SQRT('Calculator'!$B$12+C298)*0.667934^2)/10,0))</x:f>
        <x:v>2899</x:v>
      </x:c>
      <x:c r="F298" t="n">
        <x:f>--AND(A298&gt;='Calculator'!$B$5,B298&gt;='Calculator'!$B$5,C298&gt;='Calculator'!$B$5)</x:f>
        <x:v>1</x:v>
      </x:c>
      <x:c r="G298" t="n">
        <x:f>--AND(A298+'Calculator'!$B$6&gt;=15,B298+'Calculator'!$B$6&gt;=15,C298+'Calculator'!$B$6&gt;=15)</x:f>
        <x:v>0</x:v>
      </x:c>
      <x:c r="H298" t="n">
        <x:f>--AND(F298=1,D298='Calculator'!$B$4)</x:f>
        <x:v>0</x:v>
      </x:c>
      <x:c r="I298" t="n">
        <x:f>--AND(H298=1,G298=1)</x:f>
        <x:v>0</x:v>
      </x:c>
      <x:c r="J298" t="n">
        <x:f>--AND(F298=1,E298='Calculator'!$B$4)</x:f>
        <x:v>0</x:v>
      </x:c>
      <x:c r="K298" t="n">
        <x:f>--AND(J298=1,G298=1)</x:f>
        <x:v>0</x:v>
      </x:c>
      <x:c r="L298" t="str">
        <x:f>A298&amp;"/"&amp;B298&amp;"/"&amp;C298</x:f>
        <x:v>8/15/12</x:v>
      </x:c>
      <x:c r="M298" t="str">
        <x:f>MIN(15,A298+'Calculator'!$B$6)&amp;"/"&amp;MIN(15,B298+'Calculator'!$B$6)&amp;"/"&amp;MIN(15,C298+'Calculator'!$B$6)</x:f>
        <x:v>10/15/14</x:v>
      </x:c>
    </x:row>
    <x:row r="299">
      <x:c r="A299" t="n">
        <x:v>8</x:v>
      </x:c>
      <x:c r="B299" t="n">
        <x:v>15</x:v>
      </x:c>
      <x:c r="C299" t="n">
        <x:v>13</x:v>
      </x:c>
      <x:c r="D299" t="n">
        <x:f>MAX(10,ROUNDDOWN((('Calculator'!$B$10+A299)*SQRT('Calculator'!$B$11+B299)*SQRT('Calculator'!$B$12+C299)*0.59740001^2)/10,0))</x:f>
        <x:v>2324</x:v>
      </x:c>
      <x:c r="E299" t="n">
        <x:f>MAX(10,ROUNDDOWN((('Calculator'!$B$10+A299)*SQRT('Calculator'!$B$11+B299)*SQRT('Calculator'!$B$12+C299)*0.667934^2)/10,0))</x:f>
        <x:v>2905</x:v>
      </x:c>
      <x:c r="F299" t="n">
        <x:f>--AND(A299&gt;='Calculator'!$B$5,B299&gt;='Calculator'!$B$5,C299&gt;='Calculator'!$B$5)</x:f>
        <x:v>1</x:v>
      </x:c>
      <x:c r="G299" t="n">
        <x:f>--AND(A299+'Calculator'!$B$6&gt;=15,B299+'Calculator'!$B$6&gt;=15,C299+'Calculator'!$B$6&gt;=15)</x:f>
        <x:v>0</x:v>
      </x:c>
      <x:c r="H299" t="n">
        <x:f>--AND(F299=1,D299='Calculator'!$B$4)</x:f>
        <x:v>0</x:v>
      </x:c>
      <x:c r="I299" t="n">
        <x:f>--AND(H299=1,G299=1)</x:f>
        <x:v>0</x:v>
      </x:c>
      <x:c r="J299" t="n">
        <x:f>--AND(F299=1,E299='Calculator'!$B$4)</x:f>
        <x:v>0</x:v>
      </x:c>
      <x:c r="K299" t="n">
        <x:f>--AND(J299=1,G299=1)</x:f>
        <x:v>0</x:v>
      </x:c>
      <x:c r="L299" t="str">
        <x:f>A299&amp;"/"&amp;B299&amp;"/"&amp;C299</x:f>
        <x:v>8/15/13</x:v>
      </x:c>
      <x:c r="M299" t="str">
        <x:f>MIN(15,A299+'Calculator'!$B$6)&amp;"/"&amp;MIN(15,B299+'Calculator'!$B$6)&amp;"/"&amp;MIN(15,C299+'Calculator'!$B$6)</x:f>
        <x:v>10/15/15</x:v>
      </x:c>
    </x:row>
    <x:row r="300">
      <x:c r="A300" t="n">
        <x:v>8</x:v>
      </x:c>
      <x:c r="B300" t="n">
        <x:v>15</x:v>
      </x:c>
      <x:c r="C300" t="n">
        <x:v>14</x:v>
      </x:c>
      <x:c r="D300" t="n">
        <x:f>MAX(10,ROUNDDOWN((('Calculator'!$B$10+A300)*SQRT('Calculator'!$B$11+B300)*SQRT('Calculator'!$B$12+C300)*0.59740001^2)/10,0))</x:f>
        <x:v>2329</x:v>
      </x:c>
      <x:c r="E300" t="n">
        <x:f>MAX(10,ROUNDDOWN((('Calculator'!$B$10+A300)*SQRT('Calculator'!$B$11+B300)*SQRT('Calculator'!$B$12+C300)*0.667934^2)/10,0))</x:f>
        <x:v>2912</x:v>
      </x:c>
      <x:c r="F300" t="n">
        <x:f>--AND(A300&gt;='Calculator'!$B$5,B300&gt;='Calculator'!$B$5,C300&gt;='Calculator'!$B$5)</x:f>
        <x:v>1</x:v>
      </x:c>
      <x:c r="G300" t="n">
        <x:f>--AND(A300+'Calculator'!$B$6&gt;=15,B300+'Calculator'!$B$6&gt;=15,C300+'Calculator'!$B$6&gt;=15)</x:f>
        <x:v>0</x:v>
      </x:c>
      <x:c r="H300" t="n">
        <x:f>--AND(F300=1,D300='Calculator'!$B$4)</x:f>
        <x:v>0</x:v>
      </x:c>
      <x:c r="I300" t="n">
        <x:f>--AND(H300=1,G300=1)</x:f>
        <x:v>0</x:v>
      </x:c>
      <x:c r="J300" t="n">
        <x:f>--AND(F300=1,E300='Calculator'!$B$4)</x:f>
        <x:v>0</x:v>
      </x:c>
      <x:c r="K300" t="n">
        <x:f>--AND(J300=1,G300=1)</x:f>
        <x:v>0</x:v>
      </x:c>
      <x:c r="L300" t="str">
        <x:f>A300&amp;"/"&amp;B300&amp;"/"&amp;C300</x:f>
        <x:v>8/15/14</x:v>
      </x:c>
      <x:c r="M300" t="str">
        <x:f>MIN(15,A300+'Calculator'!$B$6)&amp;"/"&amp;MIN(15,B300+'Calculator'!$B$6)&amp;"/"&amp;MIN(15,C300+'Calculator'!$B$6)</x:f>
        <x:v>10/15/15</x:v>
      </x:c>
    </x:row>
    <x:row r="301">
      <x:c r="A301" t="n">
        <x:v>8</x:v>
      </x:c>
      <x:c r="B301" t="n">
        <x:v>15</x:v>
      </x:c>
      <x:c r="C301" t="n">
        <x:v>15</x:v>
      </x:c>
      <x:c r="D301" t="n">
        <x:f>MAX(10,ROUNDDOWN((('Calculator'!$B$10+A301)*SQRT('Calculator'!$B$11+B301)*SQRT('Calculator'!$B$12+C301)*0.59740001^2)/10,0))</x:f>
        <x:v>2334</x:v>
      </x:c>
      <x:c r="E301" t="n">
        <x:f>MAX(10,ROUNDDOWN((('Calculator'!$B$10+A301)*SQRT('Calculator'!$B$11+B301)*SQRT('Calculator'!$B$12+C301)*0.667934^2)/10,0))</x:f>
        <x:v>2918</x:v>
      </x:c>
      <x:c r="F301" t="n">
        <x:f>--AND(A301&gt;='Calculator'!$B$5,B301&gt;='Calculator'!$B$5,C301&gt;='Calculator'!$B$5)</x:f>
        <x:v>1</x:v>
      </x:c>
      <x:c r="G301" t="n">
        <x:f>--AND(A301+'Calculator'!$B$6&gt;=15,B301+'Calculator'!$B$6&gt;=15,C301+'Calculator'!$B$6&gt;=15)</x:f>
        <x:v>0</x:v>
      </x:c>
      <x:c r="H301" t="n">
        <x:f>--AND(F301=1,D301='Calculator'!$B$4)</x:f>
        <x:v>0</x:v>
      </x:c>
      <x:c r="I301" t="n">
        <x:f>--AND(H301=1,G301=1)</x:f>
        <x:v>0</x:v>
      </x:c>
      <x:c r="J301" t="n">
        <x:f>--AND(F301=1,E301='Calculator'!$B$4)</x:f>
        <x:v>0</x:v>
      </x:c>
      <x:c r="K301" t="n">
        <x:f>--AND(J301=1,G301=1)</x:f>
        <x:v>0</x:v>
      </x:c>
      <x:c r="L301" t="str">
        <x:f>A301&amp;"/"&amp;B301&amp;"/"&amp;C301</x:f>
        <x:v>8/15/15</x:v>
      </x:c>
      <x:c r="M301" t="str">
        <x:f>MIN(15,A301+'Calculator'!$B$6)&amp;"/"&amp;MIN(15,B301+'Calculator'!$B$6)&amp;"/"&amp;MIN(15,C301+'Calculator'!$B$6)</x:f>
        <x:v>10/15/15</x:v>
      </x:c>
    </x:row>
    <x:row r="302">
      <x:c r="A302" t="n">
        <x:v>9</x:v>
      </x:c>
      <x:c r="B302" t="n">
        <x:v>6</x:v>
      </x:c>
      <x:c r="C302" t="n">
        <x:v>6</x:v>
      </x:c>
      <x:c r="D302" t="n">
        <x:f>MAX(10,ROUNDDOWN((('Calculator'!$B$10+A302)*SQRT('Calculator'!$B$11+B302)*SQRT('Calculator'!$B$12+C302)*0.59740001^2)/10,0))</x:f>
        <x:v>2242</x:v>
      </x:c>
      <x:c r="E302" t="n">
        <x:f>MAX(10,ROUNDDOWN((('Calculator'!$B$10+A302)*SQRT('Calculator'!$B$11+B302)*SQRT('Calculator'!$B$12+C302)*0.667934^2)/10,0))</x:f>
        <x:v>2803</x:v>
      </x:c>
      <x:c r="F302" t="n">
        <x:f>--AND(A302&gt;='Calculator'!$B$5,B302&gt;='Calculator'!$B$5,C302&gt;='Calculator'!$B$5)</x:f>
        <x:v>1</x:v>
      </x:c>
      <x:c r="G302" t="n">
        <x:f>--AND(A302+'Calculator'!$B$6&gt;=15,B302+'Calculator'!$B$6&gt;=15,C302+'Calculator'!$B$6&gt;=15)</x:f>
        <x:v>0</x:v>
      </x:c>
      <x:c r="H302" t="n">
        <x:f>--AND(F302=1,D302='Calculator'!$B$4)</x:f>
        <x:v>0</x:v>
      </x:c>
      <x:c r="I302" t="n">
        <x:f>--AND(H302=1,G302=1)</x:f>
        <x:v>0</x:v>
      </x:c>
      <x:c r="J302" t="n">
        <x:f>--AND(F302=1,E302='Calculator'!$B$4)</x:f>
        <x:v>0</x:v>
      </x:c>
      <x:c r="K302" t="n">
        <x:f>--AND(J302=1,G302=1)</x:f>
        <x:v>0</x:v>
      </x:c>
      <x:c r="L302" t="str">
        <x:f>A302&amp;"/"&amp;B302&amp;"/"&amp;C302</x:f>
        <x:v>9/6/6</x:v>
      </x:c>
      <x:c r="M302" t="str">
        <x:f>MIN(15,A302+'Calculator'!$B$6)&amp;"/"&amp;MIN(15,B302+'Calculator'!$B$6)&amp;"/"&amp;MIN(15,C302+'Calculator'!$B$6)</x:f>
        <x:v>11/8/8</x:v>
      </x:c>
    </x:row>
    <x:row r="303">
      <x:c r="A303" t="n">
        <x:v>9</x:v>
      </x:c>
      <x:c r="B303" t="n">
        <x:v>6</x:v>
      </x:c>
      <x:c r="C303" t="n">
        <x:v>7</x:v>
      </x:c>
      <x:c r="D303" t="n">
        <x:f>MAX(10,ROUNDDOWN((('Calculator'!$B$10+A303)*SQRT('Calculator'!$B$11+B303)*SQRT('Calculator'!$B$12+C303)*0.59740001^2)/10,0))</x:f>
        <x:v>2247</x:v>
      </x:c>
      <x:c r="E303" t="n">
        <x:f>MAX(10,ROUNDDOWN((('Calculator'!$B$10+A303)*SQRT('Calculator'!$B$11+B303)*SQRT('Calculator'!$B$12+C303)*0.667934^2)/10,0))</x:f>
        <x:v>2809</x:v>
      </x:c>
      <x:c r="F303" t="n">
        <x:f>--AND(A303&gt;='Calculator'!$B$5,B303&gt;='Calculator'!$B$5,C303&gt;='Calculator'!$B$5)</x:f>
        <x:v>1</x:v>
      </x:c>
      <x:c r="G303" t="n">
        <x:f>--AND(A303+'Calculator'!$B$6&gt;=15,B303+'Calculator'!$B$6&gt;=15,C303+'Calculator'!$B$6&gt;=15)</x:f>
        <x:v>0</x:v>
      </x:c>
      <x:c r="H303" t="n">
        <x:f>--AND(F303=1,D303='Calculator'!$B$4)</x:f>
        <x:v>0</x:v>
      </x:c>
      <x:c r="I303" t="n">
        <x:f>--AND(H303=1,G303=1)</x:f>
        <x:v>0</x:v>
      </x:c>
      <x:c r="J303" t="n">
        <x:f>--AND(F303=1,E303='Calculator'!$B$4)</x:f>
        <x:v>0</x:v>
      </x:c>
      <x:c r="K303" t="n">
        <x:f>--AND(J303=1,G303=1)</x:f>
        <x:v>0</x:v>
      </x:c>
      <x:c r="L303" t="str">
        <x:f>A303&amp;"/"&amp;B303&amp;"/"&amp;C303</x:f>
        <x:v>9/6/7</x:v>
      </x:c>
      <x:c r="M303" t="str">
        <x:f>MIN(15,A303+'Calculator'!$B$6)&amp;"/"&amp;MIN(15,B303+'Calculator'!$B$6)&amp;"/"&amp;MIN(15,C303+'Calculator'!$B$6)</x:f>
        <x:v>11/8/9</x:v>
      </x:c>
    </x:row>
    <x:row r="304">
      <x:c r="A304" t="n">
        <x:v>9</x:v>
      </x:c>
      <x:c r="B304" t="n">
        <x:v>6</x:v>
      </x:c>
      <x:c r="C304" t="n">
        <x:v>8</x:v>
      </x:c>
      <x:c r="D304" t="n">
        <x:f>MAX(10,ROUNDDOWN((('Calculator'!$B$10+A304)*SQRT('Calculator'!$B$11+B304)*SQRT('Calculator'!$B$12+C304)*0.59740001^2)/10,0))</x:f>
        <x:v>2252</x:v>
      </x:c>
      <x:c r="E304" t="n">
        <x:f>MAX(10,ROUNDDOWN((('Calculator'!$B$10+A304)*SQRT('Calculator'!$B$11+B304)*SQRT('Calculator'!$B$12+C304)*0.667934^2)/10,0))</x:f>
        <x:v>2816</x:v>
      </x:c>
      <x:c r="F304" t="n">
        <x:f>--AND(A304&gt;='Calculator'!$B$5,B304&gt;='Calculator'!$B$5,C304&gt;='Calculator'!$B$5)</x:f>
        <x:v>1</x:v>
      </x:c>
      <x:c r="G304" t="n">
        <x:f>--AND(A304+'Calculator'!$B$6&gt;=15,B304+'Calculator'!$B$6&gt;=15,C304+'Calculator'!$B$6&gt;=15)</x:f>
        <x:v>0</x:v>
      </x:c>
      <x:c r="H304" t="n">
        <x:f>--AND(F304=1,D304='Calculator'!$B$4)</x:f>
        <x:v>0</x:v>
      </x:c>
      <x:c r="I304" t="n">
        <x:f>--AND(H304=1,G304=1)</x:f>
        <x:v>0</x:v>
      </x:c>
      <x:c r="J304" t="n">
        <x:f>--AND(F304=1,E304='Calculator'!$B$4)</x:f>
        <x:v>0</x:v>
      </x:c>
      <x:c r="K304" t="n">
        <x:f>--AND(J304=1,G304=1)</x:f>
        <x:v>0</x:v>
      </x:c>
      <x:c r="L304" t="str">
        <x:f>A304&amp;"/"&amp;B304&amp;"/"&amp;C304</x:f>
        <x:v>9/6/8</x:v>
      </x:c>
      <x:c r="M304" t="str">
        <x:f>MIN(15,A304+'Calculator'!$B$6)&amp;"/"&amp;MIN(15,B304+'Calculator'!$B$6)&amp;"/"&amp;MIN(15,C304+'Calculator'!$B$6)</x:f>
        <x:v>11/8/10</x:v>
      </x:c>
    </x:row>
    <x:row r="305">
      <x:c r="A305" t="n">
        <x:v>9</x:v>
      </x:c>
      <x:c r="B305" t="n">
        <x:v>6</x:v>
      </x:c>
      <x:c r="C305" t="n">
        <x:v>9</x:v>
      </x:c>
      <x:c r="D305" t="n">
        <x:f>MAX(10,ROUNDDOWN((('Calculator'!$B$10+A305)*SQRT('Calculator'!$B$11+B305)*SQRT('Calculator'!$B$12+C305)*0.59740001^2)/10,0))</x:f>
        <x:v>2257</x:v>
      </x:c>
      <x:c r="E305" t="n">
        <x:f>MAX(10,ROUNDDOWN((('Calculator'!$B$10+A305)*SQRT('Calculator'!$B$11+B305)*SQRT('Calculator'!$B$12+C305)*0.667934^2)/10,0))</x:f>
        <x:v>2822</x:v>
      </x:c>
      <x:c r="F305" t="n">
        <x:f>--AND(A305&gt;='Calculator'!$B$5,B305&gt;='Calculator'!$B$5,C305&gt;='Calculator'!$B$5)</x:f>
        <x:v>1</x:v>
      </x:c>
      <x:c r="G305" t="n">
        <x:f>--AND(A305+'Calculator'!$B$6&gt;=15,B305+'Calculator'!$B$6&gt;=15,C305+'Calculator'!$B$6&gt;=15)</x:f>
        <x:v>0</x:v>
      </x:c>
      <x:c r="H305" t="n">
        <x:f>--AND(F305=1,D305='Calculator'!$B$4)</x:f>
        <x:v>0</x:v>
      </x:c>
      <x:c r="I305" t="n">
        <x:f>--AND(H305=1,G305=1)</x:f>
        <x:v>0</x:v>
      </x:c>
      <x:c r="J305" t="n">
        <x:f>--AND(F305=1,E305='Calculator'!$B$4)</x:f>
        <x:v>0</x:v>
      </x:c>
      <x:c r="K305" t="n">
        <x:f>--AND(J305=1,G305=1)</x:f>
        <x:v>0</x:v>
      </x:c>
      <x:c r="L305" t="str">
        <x:f>A305&amp;"/"&amp;B305&amp;"/"&amp;C305</x:f>
        <x:v>9/6/9</x:v>
      </x:c>
      <x:c r="M305" t="str">
        <x:f>MIN(15,A305+'Calculator'!$B$6)&amp;"/"&amp;MIN(15,B305+'Calculator'!$B$6)&amp;"/"&amp;MIN(15,C305+'Calculator'!$B$6)</x:f>
        <x:v>11/8/11</x:v>
      </x:c>
    </x:row>
    <x:row r="306">
      <x:c r="A306" t="n">
        <x:v>9</x:v>
      </x:c>
      <x:c r="B306" t="n">
        <x:v>6</x:v>
      </x:c>
      <x:c r="C306" t="n">
        <x:v>10</x:v>
      </x:c>
      <x:c r="D306" t="n">
        <x:f>MAX(10,ROUNDDOWN((('Calculator'!$B$10+A306)*SQRT('Calculator'!$B$11+B306)*SQRT('Calculator'!$B$12+C306)*0.59740001^2)/10,0))</x:f>
        <x:v>2263</x:v>
      </x:c>
      <x:c r="E306" t="n">
        <x:f>MAX(10,ROUNDDOWN((('Calculator'!$B$10+A306)*SQRT('Calculator'!$B$11+B306)*SQRT('Calculator'!$B$12+C306)*0.667934^2)/10,0))</x:f>
        <x:v>2828</x:v>
      </x:c>
      <x:c r="F306" t="n">
        <x:f>--AND(A306&gt;='Calculator'!$B$5,B306&gt;='Calculator'!$B$5,C306&gt;='Calculator'!$B$5)</x:f>
        <x:v>1</x:v>
      </x:c>
      <x:c r="G306" t="n">
        <x:f>--AND(A306+'Calculator'!$B$6&gt;=15,B306+'Calculator'!$B$6&gt;=15,C306+'Calculator'!$B$6&gt;=15)</x:f>
        <x:v>0</x:v>
      </x:c>
      <x:c r="H306" t="n">
        <x:f>--AND(F306=1,D306='Calculator'!$B$4)</x:f>
        <x:v>0</x:v>
      </x:c>
      <x:c r="I306" t="n">
        <x:f>--AND(H306=1,G306=1)</x:f>
        <x:v>0</x:v>
      </x:c>
      <x:c r="J306" t="n">
        <x:f>--AND(F306=1,E306='Calculator'!$B$4)</x:f>
        <x:v>0</x:v>
      </x:c>
      <x:c r="K306" t="n">
        <x:f>--AND(J306=1,G306=1)</x:f>
        <x:v>0</x:v>
      </x:c>
      <x:c r="L306" t="str">
        <x:f>A306&amp;"/"&amp;B306&amp;"/"&amp;C306</x:f>
        <x:v>9/6/10</x:v>
      </x:c>
      <x:c r="M306" t="str">
        <x:f>MIN(15,A306+'Calculator'!$B$6)&amp;"/"&amp;MIN(15,B306+'Calculator'!$B$6)&amp;"/"&amp;MIN(15,C306+'Calculator'!$B$6)</x:f>
        <x:v>11/8/12</x:v>
      </x:c>
    </x:row>
    <x:row r="307">
      <x:c r="A307" t="n">
        <x:v>9</x:v>
      </x:c>
      <x:c r="B307" t="n">
        <x:v>6</x:v>
      </x:c>
      <x:c r="C307" t="n">
        <x:v>11</x:v>
      </x:c>
      <x:c r="D307" t="n">
        <x:f>MAX(10,ROUNDDOWN((('Calculator'!$B$10+A307)*SQRT('Calculator'!$B$11+B307)*SQRT('Calculator'!$B$12+C307)*0.59740001^2)/10,0))</x:f>
        <x:v>2268</x:v>
      </x:c>
      <x:c r="E307" t="n">
        <x:f>MAX(10,ROUNDDOWN((('Calculator'!$B$10+A307)*SQRT('Calculator'!$B$11+B307)*SQRT('Calculator'!$B$12+C307)*0.667934^2)/10,0))</x:f>
        <x:v>2835</x:v>
      </x:c>
      <x:c r="F307" t="n">
        <x:f>--AND(A307&gt;='Calculator'!$B$5,B307&gt;='Calculator'!$B$5,C307&gt;='Calculator'!$B$5)</x:f>
        <x:v>1</x:v>
      </x:c>
      <x:c r="G307" t="n">
        <x:f>--AND(A307+'Calculator'!$B$6&gt;=15,B307+'Calculator'!$B$6&gt;=15,C307+'Calculator'!$B$6&gt;=15)</x:f>
        <x:v>0</x:v>
      </x:c>
      <x:c r="H307" t="n">
        <x:f>--AND(F307=1,D307='Calculator'!$B$4)</x:f>
        <x:v>0</x:v>
      </x:c>
      <x:c r="I307" t="n">
        <x:f>--AND(H307=1,G307=1)</x:f>
        <x:v>0</x:v>
      </x:c>
      <x:c r="J307" t="n">
        <x:f>--AND(F307=1,E307='Calculator'!$B$4)</x:f>
        <x:v>0</x:v>
      </x:c>
      <x:c r="K307" t="n">
        <x:f>--AND(J307=1,G307=1)</x:f>
        <x:v>0</x:v>
      </x:c>
      <x:c r="L307" t="str">
        <x:f>A307&amp;"/"&amp;B307&amp;"/"&amp;C307</x:f>
        <x:v>9/6/11</x:v>
      </x:c>
      <x:c r="M307" t="str">
        <x:f>MIN(15,A307+'Calculator'!$B$6)&amp;"/"&amp;MIN(15,B307+'Calculator'!$B$6)&amp;"/"&amp;MIN(15,C307+'Calculator'!$B$6)</x:f>
        <x:v>11/8/13</x:v>
      </x:c>
    </x:row>
    <x:row r="308">
      <x:c r="A308" t="n">
        <x:v>9</x:v>
      </x:c>
      <x:c r="B308" t="n">
        <x:v>6</x:v>
      </x:c>
      <x:c r="C308" t="n">
        <x:v>12</x:v>
      </x:c>
      <x:c r="D308" t="n">
        <x:f>MAX(10,ROUNDDOWN((('Calculator'!$B$10+A308)*SQRT('Calculator'!$B$11+B308)*SQRT('Calculator'!$B$12+C308)*0.59740001^2)/10,0))</x:f>
        <x:v>2273</x:v>
      </x:c>
      <x:c r="E308" t="n">
        <x:f>MAX(10,ROUNDDOWN((('Calculator'!$B$10+A308)*SQRT('Calculator'!$B$11+B308)*SQRT('Calculator'!$B$12+C308)*0.667934^2)/10,0))</x:f>
        <x:v>2841</x:v>
      </x:c>
      <x:c r="F308" t="n">
        <x:f>--AND(A308&gt;='Calculator'!$B$5,B308&gt;='Calculator'!$B$5,C308&gt;='Calculator'!$B$5)</x:f>
        <x:v>1</x:v>
      </x:c>
      <x:c r="G308" t="n">
        <x:f>--AND(A308+'Calculator'!$B$6&gt;=15,B308+'Calculator'!$B$6&gt;=15,C308+'Calculator'!$B$6&gt;=15)</x:f>
        <x:v>0</x:v>
      </x:c>
      <x:c r="H308" t="n">
        <x:f>--AND(F308=1,D308='Calculator'!$B$4)</x:f>
        <x:v>0</x:v>
      </x:c>
      <x:c r="I308" t="n">
        <x:f>--AND(H308=1,G308=1)</x:f>
        <x:v>0</x:v>
      </x:c>
      <x:c r="J308" t="n">
        <x:f>--AND(F308=1,E308='Calculator'!$B$4)</x:f>
        <x:v>0</x:v>
      </x:c>
      <x:c r="K308" t="n">
        <x:f>--AND(J308=1,G308=1)</x:f>
        <x:v>0</x:v>
      </x:c>
      <x:c r="L308" t="str">
        <x:f>A308&amp;"/"&amp;B308&amp;"/"&amp;C308</x:f>
        <x:v>9/6/12</x:v>
      </x:c>
      <x:c r="M308" t="str">
        <x:f>MIN(15,A308+'Calculator'!$B$6)&amp;"/"&amp;MIN(15,B308+'Calculator'!$B$6)&amp;"/"&amp;MIN(15,C308+'Calculator'!$B$6)</x:f>
        <x:v>11/8/14</x:v>
      </x:c>
    </x:row>
    <x:row r="309">
      <x:c r="A309" t="n">
        <x:v>9</x:v>
      </x:c>
      <x:c r="B309" t="n">
        <x:v>6</x:v>
      </x:c>
      <x:c r="C309" t="n">
        <x:v>13</x:v>
      </x:c>
      <x:c r="D309" t="n">
        <x:f>MAX(10,ROUNDDOWN((('Calculator'!$B$10+A309)*SQRT('Calculator'!$B$11+B309)*SQRT('Calculator'!$B$12+C309)*0.59740001^2)/10,0))</x:f>
        <x:v>2278</x:v>
      </x:c>
      <x:c r="E309" t="n">
        <x:f>MAX(10,ROUNDDOWN((('Calculator'!$B$10+A309)*SQRT('Calculator'!$B$11+B309)*SQRT('Calculator'!$B$12+C309)*0.667934^2)/10,0))</x:f>
        <x:v>2847</x:v>
      </x:c>
      <x:c r="F309" t="n">
        <x:f>--AND(A309&gt;='Calculator'!$B$5,B309&gt;='Calculator'!$B$5,C309&gt;='Calculator'!$B$5)</x:f>
        <x:v>1</x:v>
      </x:c>
      <x:c r="G309" t="n">
        <x:f>--AND(A309+'Calculator'!$B$6&gt;=15,B309+'Calculator'!$B$6&gt;=15,C309+'Calculator'!$B$6&gt;=15)</x:f>
        <x:v>0</x:v>
      </x:c>
      <x:c r="H309" t="n">
        <x:f>--AND(F309=1,D309='Calculator'!$B$4)</x:f>
        <x:v>0</x:v>
      </x:c>
      <x:c r="I309" t="n">
        <x:f>--AND(H309=1,G309=1)</x:f>
        <x:v>0</x:v>
      </x:c>
      <x:c r="J309" t="n">
        <x:f>--AND(F309=1,E309='Calculator'!$B$4)</x:f>
        <x:v>0</x:v>
      </x:c>
      <x:c r="K309" t="n">
        <x:f>--AND(J309=1,G309=1)</x:f>
        <x:v>0</x:v>
      </x:c>
      <x:c r="L309" t="str">
        <x:f>A309&amp;"/"&amp;B309&amp;"/"&amp;C309</x:f>
        <x:v>9/6/13</x:v>
      </x:c>
      <x:c r="M309" t="str">
        <x:f>MIN(15,A309+'Calculator'!$B$6)&amp;"/"&amp;MIN(15,B309+'Calculator'!$B$6)&amp;"/"&amp;MIN(15,C309+'Calculator'!$B$6)</x:f>
        <x:v>11/8/15</x:v>
      </x:c>
    </x:row>
    <x:row r="310">
      <x:c r="A310" t="n">
        <x:v>9</x:v>
      </x:c>
      <x:c r="B310" t="n">
        <x:v>6</x:v>
      </x:c>
      <x:c r="C310" t="n">
        <x:v>14</x:v>
      </x:c>
      <x:c r="D310" t="n">
        <x:f>MAX(10,ROUNDDOWN((('Calculator'!$B$10+A310)*SQRT('Calculator'!$B$11+B310)*SQRT('Calculator'!$B$12+C310)*0.59740001^2)/10,0))</x:f>
        <x:v>2283</x:v>
      </x:c>
      <x:c r="E310" t="n">
        <x:f>MAX(10,ROUNDDOWN((('Calculator'!$B$10+A310)*SQRT('Calculator'!$B$11+B310)*SQRT('Calculator'!$B$12+C310)*0.667934^2)/10,0))</x:f>
        <x:v>2854</x:v>
      </x:c>
      <x:c r="F310" t="n">
        <x:f>--AND(A310&gt;='Calculator'!$B$5,B310&gt;='Calculator'!$B$5,C310&gt;='Calculator'!$B$5)</x:f>
        <x:v>1</x:v>
      </x:c>
      <x:c r="G310" t="n">
        <x:f>--AND(A310+'Calculator'!$B$6&gt;=15,B310+'Calculator'!$B$6&gt;=15,C310+'Calculator'!$B$6&gt;=15)</x:f>
        <x:v>0</x:v>
      </x:c>
      <x:c r="H310" t="n">
        <x:f>--AND(F310=1,D310='Calculator'!$B$4)</x:f>
        <x:v>0</x:v>
      </x:c>
      <x:c r="I310" t="n">
        <x:f>--AND(H310=1,G310=1)</x:f>
        <x:v>0</x:v>
      </x:c>
      <x:c r="J310" t="n">
        <x:f>--AND(F310=1,E310='Calculator'!$B$4)</x:f>
        <x:v>0</x:v>
      </x:c>
      <x:c r="K310" t="n">
        <x:f>--AND(J310=1,G310=1)</x:f>
        <x:v>0</x:v>
      </x:c>
      <x:c r="L310" t="str">
        <x:f>A310&amp;"/"&amp;B310&amp;"/"&amp;C310</x:f>
        <x:v>9/6/14</x:v>
      </x:c>
      <x:c r="M310" t="str">
        <x:f>MIN(15,A310+'Calculator'!$B$6)&amp;"/"&amp;MIN(15,B310+'Calculator'!$B$6)&amp;"/"&amp;MIN(15,C310+'Calculator'!$B$6)</x:f>
        <x:v>11/8/15</x:v>
      </x:c>
    </x:row>
    <x:row r="311">
      <x:c r="A311" t="n">
        <x:v>9</x:v>
      </x:c>
      <x:c r="B311" t="n">
        <x:v>6</x:v>
      </x:c>
      <x:c r="C311" t="n">
        <x:v>15</x:v>
      </x:c>
      <x:c r="D311" t="n">
        <x:f>MAX(10,ROUNDDOWN((('Calculator'!$B$10+A311)*SQRT('Calculator'!$B$11+B311)*SQRT('Calculator'!$B$12+C311)*0.59740001^2)/10,0))</x:f>
        <x:v>2288</x:v>
      </x:c>
      <x:c r="E311" t="n">
        <x:f>MAX(10,ROUNDDOWN((('Calculator'!$B$10+A311)*SQRT('Calculator'!$B$11+B311)*SQRT('Calculator'!$B$12+C311)*0.667934^2)/10,0))</x:f>
        <x:v>2860</x:v>
      </x:c>
      <x:c r="F311" t="n">
        <x:f>--AND(A311&gt;='Calculator'!$B$5,B311&gt;='Calculator'!$B$5,C311&gt;='Calculator'!$B$5)</x:f>
        <x:v>1</x:v>
      </x:c>
      <x:c r="G311" t="n">
        <x:f>--AND(A311+'Calculator'!$B$6&gt;=15,B311+'Calculator'!$B$6&gt;=15,C311+'Calculator'!$B$6&gt;=15)</x:f>
        <x:v>0</x:v>
      </x:c>
      <x:c r="H311" t="n">
        <x:f>--AND(F311=1,D311='Calculator'!$B$4)</x:f>
        <x:v>0</x:v>
      </x:c>
      <x:c r="I311" t="n">
        <x:f>--AND(H311=1,G311=1)</x:f>
        <x:v>0</x:v>
      </x:c>
      <x:c r="J311" t="n">
        <x:f>--AND(F311=1,E311='Calculator'!$B$4)</x:f>
        <x:v>0</x:v>
      </x:c>
      <x:c r="K311" t="n">
        <x:f>--AND(J311=1,G311=1)</x:f>
        <x:v>0</x:v>
      </x:c>
      <x:c r="L311" t="str">
        <x:f>A311&amp;"/"&amp;B311&amp;"/"&amp;C311</x:f>
        <x:v>9/6/15</x:v>
      </x:c>
      <x:c r="M311" t="str">
        <x:f>MIN(15,A311+'Calculator'!$B$6)&amp;"/"&amp;MIN(15,B311+'Calculator'!$B$6)&amp;"/"&amp;MIN(15,C311+'Calculator'!$B$6)</x:f>
        <x:v>11/8/15</x:v>
      </x:c>
    </x:row>
    <x:row r="312">
      <x:c r="A312" t="n">
        <x:v>9</x:v>
      </x:c>
      <x:c r="B312" t="n">
        <x:v>7</x:v>
      </x:c>
      <x:c r="C312" t="n">
        <x:v>6</x:v>
      </x:c>
      <x:c r="D312" t="n">
        <x:f>MAX(10,ROUNDDOWN((('Calculator'!$B$10+A312)*SQRT('Calculator'!$B$11+B312)*SQRT('Calculator'!$B$12+C312)*0.59740001^2)/10,0))</x:f>
        <x:v>2248</x:v>
      </x:c>
      <x:c r="E312" t="n">
        <x:f>MAX(10,ROUNDDOWN((('Calculator'!$B$10+A312)*SQRT('Calculator'!$B$11+B312)*SQRT('Calculator'!$B$12+C312)*0.667934^2)/10,0))</x:f>
        <x:v>2811</x:v>
      </x:c>
      <x:c r="F312" t="n">
        <x:f>--AND(A312&gt;='Calculator'!$B$5,B312&gt;='Calculator'!$B$5,C312&gt;='Calculator'!$B$5)</x:f>
        <x:v>1</x:v>
      </x:c>
      <x:c r="G312" t="n">
        <x:f>--AND(A312+'Calculator'!$B$6&gt;=15,B312+'Calculator'!$B$6&gt;=15,C312+'Calculator'!$B$6&gt;=15)</x:f>
        <x:v>0</x:v>
      </x:c>
      <x:c r="H312" t="n">
        <x:f>--AND(F312=1,D312='Calculator'!$B$4)</x:f>
        <x:v>0</x:v>
      </x:c>
      <x:c r="I312" t="n">
        <x:f>--AND(H312=1,G312=1)</x:f>
        <x:v>0</x:v>
      </x:c>
      <x:c r="J312" t="n">
        <x:f>--AND(F312=1,E312='Calculator'!$B$4)</x:f>
        <x:v>0</x:v>
      </x:c>
      <x:c r="K312" t="n">
        <x:f>--AND(J312=1,G312=1)</x:f>
        <x:v>0</x:v>
      </x:c>
      <x:c r="L312" t="str">
        <x:f>A312&amp;"/"&amp;B312&amp;"/"&amp;C312</x:f>
        <x:v>9/7/6</x:v>
      </x:c>
      <x:c r="M312" t="str">
        <x:f>MIN(15,A312+'Calculator'!$B$6)&amp;"/"&amp;MIN(15,B312+'Calculator'!$B$6)&amp;"/"&amp;MIN(15,C312+'Calculator'!$B$6)</x:f>
        <x:v>11/9/8</x:v>
      </x:c>
    </x:row>
    <x:row r="313">
      <x:c r="A313" t="n">
        <x:v>9</x:v>
      </x:c>
      <x:c r="B313" t="n">
        <x:v>7</x:v>
      </x:c>
      <x:c r="C313" t="n">
        <x:v>7</x:v>
      </x:c>
      <x:c r="D313" t="n">
        <x:f>MAX(10,ROUNDDOWN((('Calculator'!$B$10+A313)*SQRT('Calculator'!$B$11+B313)*SQRT('Calculator'!$B$12+C313)*0.59740001^2)/10,0))</x:f>
        <x:v>2253</x:v>
      </x:c>
      <x:c r="E313" t="n">
        <x:f>MAX(10,ROUNDDOWN((('Calculator'!$B$10+A313)*SQRT('Calculator'!$B$11+B313)*SQRT('Calculator'!$B$12+C313)*0.667934^2)/10,0))</x:f>
        <x:v>2817</x:v>
      </x:c>
      <x:c r="F313" t="n">
        <x:f>--AND(A313&gt;='Calculator'!$B$5,B313&gt;='Calculator'!$B$5,C313&gt;='Calculator'!$B$5)</x:f>
        <x:v>1</x:v>
      </x:c>
      <x:c r="G313" t="n">
        <x:f>--AND(A313+'Calculator'!$B$6&gt;=15,B313+'Calculator'!$B$6&gt;=15,C313+'Calculator'!$B$6&gt;=15)</x:f>
        <x:v>0</x:v>
      </x:c>
      <x:c r="H313" t="n">
        <x:f>--AND(F313=1,D313='Calculator'!$B$4)</x:f>
        <x:v>0</x:v>
      </x:c>
      <x:c r="I313" t="n">
        <x:f>--AND(H313=1,G313=1)</x:f>
        <x:v>0</x:v>
      </x:c>
      <x:c r="J313" t="n">
        <x:f>--AND(F313=1,E313='Calculator'!$B$4)</x:f>
        <x:v>0</x:v>
      </x:c>
      <x:c r="K313" t="n">
        <x:f>--AND(J313=1,G313=1)</x:f>
        <x:v>0</x:v>
      </x:c>
      <x:c r="L313" t="str">
        <x:f>A313&amp;"/"&amp;B313&amp;"/"&amp;C313</x:f>
        <x:v>9/7/7</x:v>
      </x:c>
      <x:c r="M313" t="str">
        <x:f>MIN(15,A313+'Calculator'!$B$6)&amp;"/"&amp;MIN(15,B313+'Calculator'!$B$6)&amp;"/"&amp;MIN(15,C313+'Calculator'!$B$6)</x:f>
        <x:v>11/9/9</x:v>
      </x:c>
    </x:row>
    <x:row r="314">
      <x:c r="A314" t="n">
        <x:v>9</x:v>
      </x:c>
      <x:c r="B314" t="n">
        <x:v>7</x:v>
      </x:c>
      <x:c r="C314" t="n">
        <x:v>8</x:v>
      </x:c>
      <x:c r="D314" t="n">
        <x:f>MAX(10,ROUNDDOWN((('Calculator'!$B$10+A314)*SQRT('Calculator'!$B$11+B314)*SQRT('Calculator'!$B$12+C314)*0.59740001^2)/10,0))</x:f>
        <x:v>2258</x:v>
      </x:c>
      <x:c r="E314" t="n">
        <x:f>MAX(10,ROUNDDOWN((('Calculator'!$B$10+A314)*SQRT('Calculator'!$B$11+B314)*SQRT('Calculator'!$B$12+C314)*0.667934^2)/10,0))</x:f>
        <x:v>2823</x:v>
      </x:c>
      <x:c r="F314" t="n">
        <x:f>--AND(A314&gt;='Calculator'!$B$5,B314&gt;='Calculator'!$B$5,C314&gt;='Calculator'!$B$5)</x:f>
        <x:v>1</x:v>
      </x:c>
      <x:c r="G314" t="n">
        <x:f>--AND(A314+'Calculator'!$B$6&gt;=15,B314+'Calculator'!$B$6&gt;=15,C314+'Calculator'!$B$6&gt;=15)</x:f>
        <x:v>0</x:v>
      </x:c>
      <x:c r="H314" t="n">
        <x:f>--AND(F314=1,D314='Calculator'!$B$4)</x:f>
        <x:v>0</x:v>
      </x:c>
      <x:c r="I314" t="n">
        <x:f>--AND(H314=1,G314=1)</x:f>
        <x:v>0</x:v>
      </x:c>
      <x:c r="J314" t="n">
        <x:f>--AND(F314=1,E314='Calculator'!$B$4)</x:f>
        <x:v>0</x:v>
      </x:c>
      <x:c r="K314" t="n">
        <x:f>--AND(J314=1,G314=1)</x:f>
        <x:v>0</x:v>
      </x:c>
      <x:c r="L314" t="str">
        <x:f>A314&amp;"/"&amp;B314&amp;"/"&amp;C314</x:f>
        <x:v>9/7/8</x:v>
      </x:c>
      <x:c r="M314" t="str">
        <x:f>MIN(15,A314+'Calculator'!$B$6)&amp;"/"&amp;MIN(15,B314+'Calculator'!$B$6)&amp;"/"&amp;MIN(15,C314+'Calculator'!$B$6)</x:f>
        <x:v>11/9/10</x:v>
      </x:c>
    </x:row>
    <x:row r="315">
      <x:c r="A315" t="n">
        <x:v>9</x:v>
      </x:c>
      <x:c r="B315" t="n">
        <x:v>7</x:v>
      </x:c>
      <x:c r="C315" t="n">
        <x:v>9</x:v>
      </x:c>
      <x:c r="D315" t="n">
        <x:f>MAX(10,ROUNDDOWN((('Calculator'!$B$10+A315)*SQRT('Calculator'!$B$11+B315)*SQRT('Calculator'!$B$12+C315)*0.59740001^2)/10,0))</x:f>
        <x:v>2263</x:v>
      </x:c>
      <x:c r="E315" t="n">
        <x:f>MAX(10,ROUNDDOWN((('Calculator'!$B$10+A315)*SQRT('Calculator'!$B$11+B315)*SQRT('Calculator'!$B$12+C315)*0.667934^2)/10,0))</x:f>
        <x:v>2830</x:v>
      </x:c>
      <x:c r="F315" t="n">
        <x:f>--AND(A315&gt;='Calculator'!$B$5,B315&gt;='Calculator'!$B$5,C315&gt;='Calculator'!$B$5)</x:f>
        <x:v>1</x:v>
      </x:c>
      <x:c r="G315" t="n">
        <x:f>--AND(A315+'Calculator'!$B$6&gt;=15,B315+'Calculator'!$B$6&gt;=15,C315+'Calculator'!$B$6&gt;=15)</x:f>
        <x:v>0</x:v>
      </x:c>
      <x:c r="H315" t="n">
        <x:f>--AND(F315=1,D315='Calculator'!$B$4)</x:f>
        <x:v>0</x:v>
      </x:c>
      <x:c r="I315" t="n">
        <x:f>--AND(H315=1,G315=1)</x:f>
        <x:v>0</x:v>
      </x:c>
      <x:c r="J315" t="n">
        <x:f>--AND(F315=1,E315='Calculator'!$B$4)</x:f>
        <x:v>0</x:v>
      </x:c>
      <x:c r="K315" t="n">
        <x:f>--AND(J315=1,G315=1)</x:f>
        <x:v>0</x:v>
      </x:c>
      <x:c r="L315" t="str">
        <x:f>A315&amp;"/"&amp;B315&amp;"/"&amp;C315</x:f>
        <x:v>9/7/9</x:v>
      </x:c>
      <x:c r="M315" t="str">
        <x:f>MIN(15,A315+'Calculator'!$B$6)&amp;"/"&amp;MIN(15,B315+'Calculator'!$B$6)&amp;"/"&amp;MIN(15,C315+'Calculator'!$B$6)</x:f>
        <x:v>11/9/11</x:v>
      </x:c>
    </x:row>
    <x:row r="316">
      <x:c r="A316" t="n">
        <x:v>9</x:v>
      </x:c>
      <x:c r="B316" t="n">
        <x:v>7</x:v>
      </x:c>
      <x:c r="C316" t="n">
        <x:v>10</x:v>
      </x:c>
      <x:c r="D316" t="n">
        <x:f>MAX(10,ROUNDDOWN((('Calculator'!$B$10+A316)*SQRT('Calculator'!$B$11+B316)*SQRT('Calculator'!$B$12+C316)*0.59740001^2)/10,0))</x:f>
        <x:v>2269</x:v>
      </x:c>
      <x:c r="E316" t="n">
        <x:f>MAX(10,ROUNDDOWN((('Calculator'!$B$10+A316)*SQRT('Calculator'!$B$11+B316)*SQRT('Calculator'!$B$12+C316)*0.667934^2)/10,0))</x:f>
        <x:v>2836</x:v>
      </x:c>
      <x:c r="F316" t="n">
        <x:f>--AND(A316&gt;='Calculator'!$B$5,B316&gt;='Calculator'!$B$5,C316&gt;='Calculator'!$B$5)</x:f>
        <x:v>1</x:v>
      </x:c>
      <x:c r="G316" t="n">
        <x:f>--AND(A316+'Calculator'!$B$6&gt;=15,B316+'Calculator'!$B$6&gt;=15,C316+'Calculator'!$B$6&gt;=15)</x:f>
        <x:v>0</x:v>
      </x:c>
      <x:c r="H316" t="n">
        <x:f>--AND(F316=1,D316='Calculator'!$B$4)</x:f>
        <x:v>0</x:v>
      </x:c>
      <x:c r="I316" t="n">
        <x:f>--AND(H316=1,G316=1)</x:f>
        <x:v>0</x:v>
      </x:c>
      <x:c r="J316" t="n">
        <x:f>--AND(F316=1,E316='Calculator'!$B$4)</x:f>
        <x:v>0</x:v>
      </x:c>
      <x:c r="K316" t="n">
        <x:f>--AND(J316=1,G316=1)</x:f>
        <x:v>0</x:v>
      </x:c>
      <x:c r="L316" t="str">
        <x:f>A316&amp;"/"&amp;B316&amp;"/"&amp;C316</x:f>
        <x:v>9/7/10</x:v>
      </x:c>
      <x:c r="M316" t="str">
        <x:f>MIN(15,A316+'Calculator'!$B$6)&amp;"/"&amp;MIN(15,B316+'Calculator'!$B$6)&amp;"/"&amp;MIN(15,C316+'Calculator'!$B$6)</x:f>
        <x:v>11/9/12</x:v>
      </x:c>
    </x:row>
    <x:row r="317">
      <x:c r="A317" t="n">
        <x:v>9</x:v>
      </x:c>
      <x:c r="B317" t="n">
        <x:v>7</x:v>
      </x:c>
      <x:c r="C317" t="n">
        <x:v>11</x:v>
      </x:c>
      <x:c r="D317" t="n">
        <x:f>MAX(10,ROUNDDOWN((('Calculator'!$B$10+A317)*SQRT('Calculator'!$B$11+B317)*SQRT('Calculator'!$B$12+C317)*0.59740001^2)/10,0))</x:f>
        <x:v>2274</x:v>
      </x:c>
      <x:c r="E317" t="n">
        <x:f>MAX(10,ROUNDDOWN((('Calculator'!$B$10+A317)*SQRT('Calculator'!$B$11+B317)*SQRT('Calculator'!$B$12+C317)*0.667934^2)/10,0))</x:f>
        <x:v>2842</x:v>
      </x:c>
      <x:c r="F317" t="n">
        <x:f>--AND(A317&gt;='Calculator'!$B$5,B317&gt;='Calculator'!$B$5,C317&gt;='Calculator'!$B$5)</x:f>
        <x:v>1</x:v>
      </x:c>
      <x:c r="G317" t="n">
        <x:f>--AND(A317+'Calculator'!$B$6&gt;=15,B317+'Calculator'!$B$6&gt;=15,C317+'Calculator'!$B$6&gt;=15)</x:f>
        <x:v>0</x:v>
      </x:c>
      <x:c r="H317" t="n">
        <x:f>--AND(F317=1,D317='Calculator'!$B$4)</x:f>
        <x:v>0</x:v>
      </x:c>
      <x:c r="I317" t="n">
        <x:f>--AND(H317=1,G317=1)</x:f>
        <x:v>0</x:v>
      </x:c>
      <x:c r="J317" t="n">
        <x:f>--AND(F317=1,E317='Calculator'!$B$4)</x:f>
        <x:v>0</x:v>
      </x:c>
      <x:c r="K317" t="n">
        <x:f>--AND(J317=1,G317=1)</x:f>
        <x:v>0</x:v>
      </x:c>
      <x:c r="L317" t="str">
        <x:f>A317&amp;"/"&amp;B317&amp;"/"&amp;C317</x:f>
        <x:v>9/7/11</x:v>
      </x:c>
      <x:c r="M317" t="str">
        <x:f>MIN(15,A317+'Calculator'!$B$6)&amp;"/"&amp;MIN(15,B317+'Calculator'!$B$6)&amp;"/"&amp;MIN(15,C317+'Calculator'!$B$6)</x:f>
        <x:v>11/9/13</x:v>
      </x:c>
    </x:row>
    <x:row r="318">
      <x:c r="A318" t="n">
        <x:v>9</x:v>
      </x:c>
      <x:c r="B318" t="n">
        <x:v>7</x:v>
      </x:c>
      <x:c r="C318" t="n">
        <x:v>12</x:v>
      </x:c>
      <x:c r="D318" t="n">
        <x:f>MAX(10,ROUNDDOWN((('Calculator'!$B$10+A318)*SQRT('Calculator'!$B$11+B318)*SQRT('Calculator'!$B$12+C318)*0.59740001^2)/10,0))</x:f>
        <x:v>2279</x:v>
      </x:c>
      <x:c r="E318" t="n">
        <x:f>MAX(10,ROUNDDOWN((('Calculator'!$B$10+A318)*SQRT('Calculator'!$B$11+B318)*SQRT('Calculator'!$B$12+C318)*0.667934^2)/10,0))</x:f>
        <x:v>2849</x:v>
      </x:c>
      <x:c r="F318" t="n">
        <x:f>--AND(A318&gt;='Calculator'!$B$5,B318&gt;='Calculator'!$B$5,C318&gt;='Calculator'!$B$5)</x:f>
        <x:v>1</x:v>
      </x:c>
      <x:c r="G318" t="n">
        <x:f>--AND(A318+'Calculator'!$B$6&gt;=15,B318+'Calculator'!$B$6&gt;=15,C318+'Calculator'!$B$6&gt;=15)</x:f>
        <x:v>0</x:v>
      </x:c>
      <x:c r="H318" t="n">
        <x:f>--AND(F318=1,D318='Calculator'!$B$4)</x:f>
        <x:v>0</x:v>
      </x:c>
      <x:c r="I318" t="n">
        <x:f>--AND(H318=1,G318=1)</x:f>
        <x:v>0</x:v>
      </x:c>
      <x:c r="J318" t="n">
        <x:f>--AND(F318=1,E318='Calculator'!$B$4)</x:f>
        <x:v>0</x:v>
      </x:c>
      <x:c r="K318" t="n">
        <x:f>--AND(J318=1,G318=1)</x:f>
        <x:v>0</x:v>
      </x:c>
      <x:c r="L318" t="str">
        <x:f>A318&amp;"/"&amp;B318&amp;"/"&amp;C318</x:f>
        <x:v>9/7/12</x:v>
      </x:c>
      <x:c r="M318" t="str">
        <x:f>MIN(15,A318+'Calculator'!$B$6)&amp;"/"&amp;MIN(15,B318+'Calculator'!$B$6)&amp;"/"&amp;MIN(15,C318+'Calculator'!$B$6)</x:f>
        <x:v>11/9/14</x:v>
      </x:c>
    </x:row>
    <x:row r="319">
      <x:c r="A319" t="n">
        <x:v>9</x:v>
      </x:c>
      <x:c r="B319" t="n">
        <x:v>7</x:v>
      </x:c>
      <x:c r="C319" t="n">
        <x:v>13</x:v>
      </x:c>
      <x:c r="D319" t="n">
        <x:f>MAX(10,ROUNDDOWN((('Calculator'!$B$10+A319)*SQRT('Calculator'!$B$11+B319)*SQRT('Calculator'!$B$12+C319)*0.59740001^2)/10,0))</x:f>
        <x:v>2284</x:v>
      </x:c>
      <x:c r="E319" t="n">
        <x:f>MAX(10,ROUNDDOWN((('Calculator'!$B$10+A319)*SQRT('Calculator'!$B$11+B319)*SQRT('Calculator'!$B$12+C319)*0.667934^2)/10,0))</x:f>
        <x:v>2855</x:v>
      </x:c>
      <x:c r="F319" t="n">
        <x:f>--AND(A319&gt;='Calculator'!$B$5,B319&gt;='Calculator'!$B$5,C319&gt;='Calculator'!$B$5)</x:f>
        <x:v>1</x:v>
      </x:c>
      <x:c r="G319" t="n">
        <x:f>--AND(A319+'Calculator'!$B$6&gt;=15,B319+'Calculator'!$B$6&gt;=15,C319+'Calculator'!$B$6&gt;=15)</x:f>
        <x:v>0</x:v>
      </x:c>
      <x:c r="H319" t="n">
        <x:f>--AND(F319=1,D319='Calculator'!$B$4)</x:f>
        <x:v>0</x:v>
      </x:c>
      <x:c r="I319" t="n">
        <x:f>--AND(H319=1,G319=1)</x:f>
        <x:v>0</x:v>
      </x:c>
      <x:c r="J319" t="n">
        <x:f>--AND(F319=1,E319='Calculator'!$B$4)</x:f>
        <x:v>0</x:v>
      </x:c>
      <x:c r="K319" t="n">
        <x:f>--AND(J319=1,G319=1)</x:f>
        <x:v>0</x:v>
      </x:c>
      <x:c r="L319" t="str">
        <x:f>A319&amp;"/"&amp;B319&amp;"/"&amp;C319</x:f>
        <x:v>9/7/13</x:v>
      </x:c>
      <x:c r="M319" t="str">
        <x:f>MIN(15,A319+'Calculator'!$B$6)&amp;"/"&amp;MIN(15,B319+'Calculator'!$B$6)&amp;"/"&amp;MIN(15,C319+'Calculator'!$B$6)</x:f>
        <x:v>11/9/15</x:v>
      </x:c>
    </x:row>
    <x:row r="320">
      <x:c r="A320" t="n">
        <x:v>9</x:v>
      </x:c>
      <x:c r="B320" t="n">
        <x:v>7</x:v>
      </x:c>
      <x:c r="C320" t="n">
        <x:v>14</x:v>
      </x:c>
      <x:c r="D320" t="n">
        <x:f>MAX(10,ROUNDDOWN((('Calculator'!$B$10+A320)*SQRT('Calculator'!$B$11+B320)*SQRT('Calculator'!$B$12+C320)*0.59740001^2)/10,0))</x:f>
        <x:v>2289</x:v>
      </x:c>
      <x:c r="E320" t="n">
        <x:f>MAX(10,ROUNDDOWN((('Calculator'!$B$10+A320)*SQRT('Calculator'!$B$11+B320)*SQRT('Calculator'!$B$12+C320)*0.667934^2)/10,0))</x:f>
        <x:v>2861</x:v>
      </x:c>
      <x:c r="F320" t="n">
        <x:f>--AND(A320&gt;='Calculator'!$B$5,B320&gt;='Calculator'!$B$5,C320&gt;='Calculator'!$B$5)</x:f>
        <x:v>1</x:v>
      </x:c>
      <x:c r="G320" t="n">
        <x:f>--AND(A320+'Calculator'!$B$6&gt;=15,B320+'Calculator'!$B$6&gt;=15,C320+'Calculator'!$B$6&gt;=15)</x:f>
        <x:v>0</x:v>
      </x:c>
      <x:c r="H320" t="n">
        <x:f>--AND(F320=1,D320='Calculator'!$B$4)</x:f>
        <x:v>0</x:v>
      </x:c>
      <x:c r="I320" t="n">
        <x:f>--AND(H320=1,G320=1)</x:f>
        <x:v>0</x:v>
      </x:c>
      <x:c r="J320" t="n">
        <x:f>--AND(F320=1,E320='Calculator'!$B$4)</x:f>
        <x:v>0</x:v>
      </x:c>
      <x:c r="K320" t="n">
        <x:f>--AND(J320=1,G320=1)</x:f>
        <x:v>0</x:v>
      </x:c>
      <x:c r="L320" t="str">
        <x:f>A320&amp;"/"&amp;B320&amp;"/"&amp;C320</x:f>
        <x:v>9/7/14</x:v>
      </x:c>
      <x:c r="M320" t="str">
        <x:f>MIN(15,A320+'Calculator'!$B$6)&amp;"/"&amp;MIN(15,B320+'Calculator'!$B$6)&amp;"/"&amp;MIN(15,C320+'Calculator'!$B$6)</x:f>
        <x:v>11/9/15</x:v>
      </x:c>
    </x:row>
    <x:row r="321">
      <x:c r="A321" t="n">
        <x:v>9</x:v>
      </x:c>
      <x:c r="B321" t="n">
        <x:v>7</x:v>
      </x:c>
      <x:c r="C321" t="n">
        <x:v>15</x:v>
      </x:c>
      <x:c r="D321" t="n">
        <x:f>MAX(10,ROUNDDOWN((('Calculator'!$B$10+A321)*SQRT('Calculator'!$B$11+B321)*SQRT('Calculator'!$B$12+C321)*0.59740001^2)/10,0))</x:f>
        <x:v>2294</x:v>
      </x:c>
      <x:c r="E321" t="n">
        <x:f>MAX(10,ROUNDDOWN((('Calculator'!$B$10+A321)*SQRT('Calculator'!$B$11+B321)*SQRT('Calculator'!$B$12+C321)*0.667934^2)/10,0))</x:f>
        <x:v>2867</x:v>
      </x:c>
      <x:c r="F321" t="n">
        <x:f>--AND(A321&gt;='Calculator'!$B$5,B321&gt;='Calculator'!$B$5,C321&gt;='Calculator'!$B$5)</x:f>
        <x:v>1</x:v>
      </x:c>
      <x:c r="G321" t="n">
        <x:f>--AND(A321+'Calculator'!$B$6&gt;=15,B321+'Calculator'!$B$6&gt;=15,C321+'Calculator'!$B$6&gt;=15)</x:f>
        <x:v>0</x:v>
      </x:c>
      <x:c r="H321" t="n">
        <x:f>--AND(F321=1,D321='Calculator'!$B$4)</x:f>
        <x:v>0</x:v>
      </x:c>
      <x:c r="I321" t="n">
        <x:f>--AND(H321=1,G321=1)</x:f>
        <x:v>0</x:v>
      </x:c>
      <x:c r="J321" t="n">
        <x:f>--AND(F321=1,E321='Calculator'!$B$4)</x:f>
        <x:v>0</x:v>
      </x:c>
      <x:c r="K321" t="n">
        <x:f>--AND(J321=1,G321=1)</x:f>
        <x:v>0</x:v>
      </x:c>
      <x:c r="L321" t="str">
        <x:f>A321&amp;"/"&amp;B321&amp;"/"&amp;C321</x:f>
        <x:v>9/7/15</x:v>
      </x:c>
      <x:c r="M321" t="str">
        <x:f>MIN(15,A321+'Calculator'!$B$6)&amp;"/"&amp;MIN(15,B321+'Calculator'!$B$6)&amp;"/"&amp;MIN(15,C321+'Calculator'!$B$6)</x:f>
        <x:v>11/9/15</x:v>
      </x:c>
    </x:row>
    <x:row r="322">
      <x:c r="A322" t="n">
        <x:v>9</x:v>
      </x:c>
      <x:c r="B322" t="n">
        <x:v>8</x:v>
      </x:c>
      <x:c r="C322" t="n">
        <x:v>6</x:v>
      </x:c>
      <x:c r="D322" t="n">
        <x:f>MAX(10,ROUNDDOWN((('Calculator'!$B$10+A322)*SQRT('Calculator'!$B$11+B322)*SQRT('Calculator'!$B$12+C322)*0.59740001^2)/10,0))</x:f>
        <x:v>2254</x:v>
      </x:c>
      <x:c r="E322" t="n">
        <x:f>MAX(10,ROUNDDOWN((('Calculator'!$B$10+A322)*SQRT('Calculator'!$B$11+B322)*SQRT('Calculator'!$B$12+C322)*0.667934^2)/10,0))</x:f>
        <x:v>2818</x:v>
      </x:c>
      <x:c r="F322" t="n">
        <x:f>--AND(A322&gt;='Calculator'!$B$5,B322&gt;='Calculator'!$B$5,C322&gt;='Calculator'!$B$5)</x:f>
        <x:v>1</x:v>
      </x:c>
      <x:c r="G322" t="n">
        <x:f>--AND(A322+'Calculator'!$B$6&gt;=15,B322+'Calculator'!$B$6&gt;=15,C322+'Calculator'!$B$6&gt;=15)</x:f>
        <x:v>0</x:v>
      </x:c>
      <x:c r="H322" t="n">
        <x:f>--AND(F322=1,D322='Calculator'!$B$4)</x:f>
        <x:v>0</x:v>
      </x:c>
      <x:c r="I322" t="n">
        <x:f>--AND(H322=1,G322=1)</x:f>
        <x:v>0</x:v>
      </x:c>
      <x:c r="J322" t="n">
        <x:f>--AND(F322=1,E322='Calculator'!$B$4)</x:f>
        <x:v>0</x:v>
      </x:c>
      <x:c r="K322" t="n">
        <x:f>--AND(J322=1,G322=1)</x:f>
        <x:v>0</x:v>
      </x:c>
      <x:c r="L322" t="str">
        <x:f>A322&amp;"/"&amp;B322&amp;"/"&amp;C322</x:f>
        <x:v>9/8/6</x:v>
      </x:c>
      <x:c r="M322" t="str">
        <x:f>MIN(15,A322+'Calculator'!$B$6)&amp;"/"&amp;MIN(15,B322+'Calculator'!$B$6)&amp;"/"&amp;MIN(15,C322+'Calculator'!$B$6)</x:f>
        <x:v>11/10/8</x:v>
      </x:c>
    </x:row>
    <x:row r="323">
      <x:c r="A323" t="n">
        <x:v>9</x:v>
      </x:c>
      <x:c r="B323" t="n">
        <x:v>8</x:v>
      </x:c>
      <x:c r="C323" t="n">
        <x:v>7</x:v>
      </x:c>
      <x:c r="D323" t="n">
        <x:f>MAX(10,ROUNDDOWN((('Calculator'!$B$10+A323)*SQRT('Calculator'!$B$11+B323)*SQRT('Calculator'!$B$12+C323)*0.59740001^2)/10,0))</x:f>
        <x:v>2259</x:v>
      </x:c>
      <x:c r="E323" t="n">
        <x:f>MAX(10,ROUNDDOWN((('Calculator'!$B$10+A323)*SQRT('Calculator'!$B$11+B323)*SQRT('Calculator'!$B$12+C323)*0.667934^2)/10,0))</x:f>
        <x:v>2824</x:v>
      </x:c>
      <x:c r="F323" t="n">
        <x:f>--AND(A323&gt;='Calculator'!$B$5,B323&gt;='Calculator'!$B$5,C323&gt;='Calculator'!$B$5)</x:f>
        <x:v>1</x:v>
      </x:c>
      <x:c r="G323" t="n">
        <x:f>--AND(A323+'Calculator'!$B$6&gt;=15,B323+'Calculator'!$B$6&gt;=15,C323+'Calculator'!$B$6&gt;=15)</x:f>
        <x:v>0</x:v>
      </x:c>
      <x:c r="H323" t="n">
        <x:f>--AND(F323=1,D323='Calculator'!$B$4)</x:f>
        <x:v>0</x:v>
      </x:c>
      <x:c r="I323" t="n">
        <x:f>--AND(H323=1,G323=1)</x:f>
        <x:v>0</x:v>
      </x:c>
      <x:c r="J323" t="n">
        <x:f>--AND(F323=1,E323='Calculator'!$B$4)</x:f>
        <x:v>0</x:v>
      </x:c>
      <x:c r="K323" t="n">
        <x:f>--AND(J323=1,G323=1)</x:f>
        <x:v>0</x:v>
      </x:c>
      <x:c r="L323" t="str">
        <x:f>A323&amp;"/"&amp;B323&amp;"/"&amp;C323</x:f>
        <x:v>9/8/7</x:v>
      </x:c>
      <x:c r="M323" t="str">
        <x:f>MIN(15,A323+'Calculator'!$B$6)&amp;"/"&amp;MIN(15,B323+'Calculator'!$B$6)&amp;"/"&amp;MIN(15,C323+'Calculator'!$B$6)</x:f>
        <x:v>11/10/9</x:v>
      </x:c>
    </x:row>
    <x:row r="324">
      <x:c r="A324" t="n">
        <x:v>9</x:v>
      </x:c>
      <x:c r="B324" t="n">
        <x:v>8</x:v>
      </x:c>
      <x:c r="C324" t="n">
        <x:v>8</x:v>
      </x:c>
      <x:c r="D324" t="n">
        <x:f>MAX(10,ROUNDDOWN((('Calculator'!$B$10+A324)*SQRT('Calculator'!$B$11+B324)*SQRT('Calculator'!$B$12+C324)*0.59740001^2)/10,0))</x:f>
        <x:v>2264</x:v>
      </x:c>
      <x:c r="E324" t="n">
        <x:f>MAX(10,ROUNDDOWN((('Calculator'!$B$10+A324)*SQRT('Calculator'!$B$11+B324)*SQRT('Calculator'!$B$12+C324)*0.667934^2)/10,0))</x:f>
        <x:v>2831</x:v>
      </x:c>
      <x:c r="F324" t="n">
        <x:f>--AND(A324&gt;='Calculator'!$B$5,B324&gt;='Calculator'!$B$5,C324&gt;='Calculator'!$B$5)</x:f>
        <x:v>1</x:v>
      </x:c>
      <x:c r="G324" t="n">
        <x:f>--AND(A324+'Calculator'!$B$6&gt;=15,B324+'Calculator'!$B$6&gt;=15,C324+'Calculator'!$B$6&gt;=15)</x:f>
        <x:v>0</x:v>
      </x:c>
      <x:c r="H324" t="n">
        <x:f>--AND(F324=1,D324='Calculator'!$B$4)</x:f>
        <x:v>0</x:v>
      </x:c>
      <x:c r="I324" t="n">
        <x:f>--AND(H324=1,G324=1)</x:f>
        <x:v>0</x:v>
      </x:c>
      <x:c r="J324" t="n">
        <x:f>--AND(F324=1,E324='Calculator'!$B$4)</x:f>
        <x:v>0</x:v>
      </x:c>
      <x:c r="K324" t="n">
        <x:f>--AND(J324=1,G324=1)</x:f>
        <x:v>0</x:v>
      </x:c>
      <x:c r="L324" t="str">
        <x:f>A324&amp;"/"&amp;B324&amp;"/"&amp;C324</x:f>
        <x:v>9/8/8</x:v>
      </x:c>
      <x:c r="M324" t="str">
        <x:f>MIN(15,A324+'Calculator'!$B$6)&amp;"/"&amp;MIN(15,B324+'Calculator'!$B$6)&amp;"/"&amp;MIN(15,C324+'Calculator'!$B$6)</x:f>
        <x:v>11/10/10</x:v>
      </x:c>
    </x:row>
    <x:row r="325">
      <x:c r="A325" t="n">
        <x:v>9</x:v>
      </x:c>
      <x:c r="B325" t="n">
        <x:v>8</x:v>
      </x:c>
      <x:c r="C325" t="n">
        <x:v>9</x:v>
      </x:c>
      <x:c r="D325" t="n">
        <x:f>MAX(10,ROUNDDOWN((('Calculator'!$B$10+A325)*SQRT('Calculator'!$B$11+B325)*SQRT('Calculator'!$B$12+C325)*0.59740001^2)/10,0))</x:f>
        <x:v>2269</x:v>
      </x:c>
      <x:c r="E325" t="n">
        <x:f>MAX(10,ROUNDDOWN((('Calculator'!$B$10+A325)*SQRT('Calculator'!$B$11+B325)*SQRT('Calculator'!$B$12+C325)*0.667934^2)/10,0))</x:f>
        <x:v>2837</x:v>
      </x:c>
      <x:c r="F325" t="n">
        <x:f>--AND(A325&gt;='Calculator'!$B$5,B325&gt;='Calculator'!$B$5,C325&gt;='Calculator'!$B$5)</x:f>
        <x:v>1</x:v>
      </x:c>
      <x:c r="G325" t="n">
        <x:f>--AND(A325+'Calculator'!$B$6&gt;=15,B325+'Calculator'!$B$6&gt;=15,C325+'Calculator'!$B$6&gt;=15)</x:f>
        <x:v>0</x:v>
      </x:c>
      <x:c r="H325" t="n">
        <x:f>--AND(F325=1,D325='Calculator'!$B$4)</x:f>
        <x:v>0</x:v>
      </x:c>
      <x:c r="I325" t="n">
        <x:f>--AND(H325=1,G325=1)</x:f>
        <x:v>0</x:v>
      </x:c>
      <x:c r="J325" t="n">
        <x:f>--AND(F325=1,E325='Calculator'!$B$4)</x:f>
        <x:v>0</x:v>
      </x:c>
      <x:c r="K325" t="n">
        <x:f>--AND(J325=1,G325=1)</x:f>
        <x:v>0</x:v>
      </x:c>
      <x:c r="L325" t="str">
        <x:f>A325&amp;"/"&amp;B325&amp;"/"&amp;C325</x:f>
        <x:v>9/8/9</x:v>
      </x:c>
      <x:c r="M325" t="str">
        <x:f>MIN(15,A325+'Calculator'!$B$6)&amp;"/"&amp;MIN(15,B325+'Calculator'!$B$6)&amp;"/"&amp;MIN(15,C325+'Calculator'!$B$6)</x:f>
        <x:v>11/10/11</x:v>
      </x:c>
    </x:row>
    <x:row r="326">
      <x:c r="A326" t="n">
        <x:v>9</x:v>
      </x:c>
      <x:c r="B326" t="n">
        <x:v>8</x:v>
      </x:c>
      <x:c r="C326" t="n">
        <x:v>10</x:v>
      </x:c>
      <x:c r="D326" t="n">
        <x:f>MAX(10,ROUNDDOWN((('Calculator'!$B$10+A326)*SQRT('Calculator'!$B$11+B326)*SQRT('Calculator'!$B$12+C326)*0.59740001^2)/10,0))</x:f>
        <x:v>2275</x:v>
      </x:c>
      <x:c r="E326" t="n">
        <x:f>MAX(10,ROUNDDOWN((('Calculator'!$B$10+A326)*SQRT('Calculator'!$B$11+B326)*SQRT('Calculator'!$B$12+C326)*0.667934^2)/10,0))</x:f>
        <x:v>2843</x:v>
      </x:c>
      <x:c r="F326" t="n">
        <x:f>--AND(A326&gt;='Calculator'!$B$5,B326&gt;='Calculator'!$B$5,C326&gt;='Calculator'!$B$5)</x:f>
        <x:v>1</x:v>
      </x:c>
      <x:c r="G326" t="n">
        <x:f>--AND(A326+'Calculator'!$B$6&gt;=15,B326+'Calculator'!$B$6&gt;=15,C326+'Calculator'!$B$6&gt;=15)</x:f>
        <x:v>0</x:v>
      </x:c>
      <x:c r="H326" t="n">
        <x:f>--AND(F326=1,D326='Calculator'!$B$4)</x:f>
        <x:v>0</x:v>
      </x:c>
      <x:c r="I326" t="n">
        <x:f>--AND(H326=1,G326=1)</x:f>
        <x:v>0</x:v>
      </x:c>
      <x:c r="J326" t="n">
        <x:f>--AND(F326=1,E326='Calculator'!$B$4)</x:f>
        <x:v>0</x:v>
      </x:c>
      <x:c r="K326" t="n">
        <x:f>--AND(J326=1,G326=1)</x:f>
        <x:v>0</x:v>
      </x:c>
      <x:c r="L326" t="str">
        <x:f>A326&amp;"/"&amp;B326&amp;"/"&amp;C326</x:f>
        <x:v>9/8/10</x:v>
      </x:c>
      <x:c r="M326" t="str">
        <x:f>MIN(15,A326+'Calculator'!$B$6)&amp;"/"&amp;MIN(15,B326+'Calculator'!$B$6)&amp;"/"&amp;MIN(15,C326+'Calculator'!$B$6)</x:f>
        <x:v>11/10/12</x:v>
      </x:c>
    </x:row>
    <x:row r="327">
      <x:c r="A327" t="n">
        <x:v>9</x:v>
      </x:c>
      <x:c r="B327" t="n">
        <x:v>8</x:v>
      </x:c>
      <x:c r="C327" t="n">
        <x:v>11</x:v>
      </x:c>
      <x:c r="D327" t="n">
        <x:f>MAX(10,ROUNDDOWN((('Calculator'!$B$10+A327)*SQRT('Calculator'!$B$11+B327)*SQRT('Calculator'!$B$12+C327)*0.59740001^2)/10,0))</x:f>
        <x:v>2280</x:v>
      </x:c>
      <x:c r="E327" t="n">
        <x:f>MAX(10,ROUNDDOWN((('Calculator'!$B$10+A327)*SQRT('Calculator'!$B$11+B327)*SQRT('Calculator'!$B$12+C327)*0.667934^2)/10,0))</x:f>
        <x:v>2850</x:v>
      </x:c>
      <x:c r="F327" t="n">
        <x:f>--AND(A327&gt;='Calculator'!$B$5,B327&gt;='Calculator'!$B$5,C327&gt;='Calculator'!$B$5)</x:f>
        <x:v>1</x:v>
      </x:c>
      <x:c r="G327" t="n">
        <x:f>--AND(A327+'Calculator'!$B$6&gt;=15,B327+'Calculator'!$B$6&gt;=15,C327+'Calculator'!$B$6&gt;=15)</x:f>
        <x:v>0</x:v>
      </x:c>
      <x:c r="H327" t="n">
        <x:f>--AND(F327=1,D327='Calculator'!$B$4)</x:f>
        <x:v>0</x:v>
      </x:c>
      <x:c r="I327" t="n">
        <x:f>--AND(H327=1,G327=1)</x:f>
        <x:v>0</x:v>
      </x:c>
      <x:c r="J327" t="n">
        <x:f>--AND(F327=1,E327='Calculator'!$B$4)</x:f>
        <x:v>0</x:v>
      </x:c>
      <x:c r="K327" t="n">
        <x:f>--AND(J327=1,G327=1)</x:f>
        <x:v>0</x:v>
      </x:c>
      <x:c r="L327" t="str">
        <x:f>A327&amp;"/"&amp;B327&amp;"/"&amp;C327</x:f>
        <x:v>9/8/11</x:v>
      </x:c>
      <x:c r="M327" t="str">
        <x:f>MIN(15,A327+'Calculator'!$B$6)&amp;"/"&amp;MIN(15,B327+'Calculator'!$B$6)&amp;"/"&amp;MIN(15,C327+'Calculator'!$B$6)</x:f>
        <x:v>11/10/13</x:v>
      </x:c>
    </x:row>
    <x:row r="328">
      <x:c r="A328" t="n">
        <x:v>9</x:v>
      </x:c>
      <x:c r="B328" t="n">
        <x:v>8</x:v>
      </x:c>
      <x:c r="C328" t="n">
        <x:v>12</x:v>
      </x:c>
      <x:c r="D328" t="n">
        <x:f>MAX(10,ROUNDDOWN((('Calculator'!$B$10+A328)*SQRT('Calculator'!$B$11+B328)*SQRT('Calculator'!$B$12+C328)*0.59740001^2)/10,0))</x:f>
        <x:v>2285</x:v>
      </x:c>
      <x:c r="E328" t="n">
        <x:f>MAX(10,ROUNDDOWN((('Calculator'!$B$10+A328)*SQRT('Calculator'!$B$11+B328)*SQRT('Calculator'!$B$12+C328)*0.667934^2)/10,0))</x:f>
        <x:v>2856</x:v>
      </x:c>
      <x:c r="F328" t="n">
        <x:f>--AND(A328&gt;='Calculator'!$B$5,B328&gt;='Calculator'!$B$5,C328&gt;='Calculator'!$B$5)</x:f>
        <x:v>1</x:v>
      </x:c>
      <x:c r="G328" t="n">
        <x:f>--AND(A328+'Calculator'!$B$6&gt;=15,B328+'Calculator'!$B$6&gt;=15,C328+'Calculator'!$B$6&gt;=15)</x:f>
        <x:v>0</x:v>
      </x:c>
      <x:c r="H328" t="n">
        <x:f>--AND(F328=1,D328='Calculator'!$B$4)</x:f>
        <x:v>0</x:v>
      </x:c>
      <x:c r="I328" t="n">
        <x:f>--AND(H328=1,G328=1)</x:f>
        <x:v>0</x:v>
      </x:c>
      <x:c r="J328" t="n">
        <x:f>--AND(F328=1,E328='Calculator'!$B$4)</x:f>
        <x:v>0</x:v>
      </x:c>
      <x:c r="K328" t="n">
        <x:f>--AND(J328=1,G328=1)</x:f>
        <x:v>0</x:v>
      </x:c>
      <x:c r="L328" t="str">
        <x:f>A328&amp;"/"&amp;B328&amp;"/"&amp;C328</x:f>
        <x:v>9/8/12</x:v>
      </x:c>
      <x:c r="M328" t="str">
        <x:f>MIN(15,A328+'Calculator'!$B$6)&amp;"/"&amp;MIN(15,B328+'Calculator'!$B$6)&amp;"/"&amp;MIN(15,C328+'Calculator'!$B$6)</x:f>
        <x:v>11/10/14</x:v>
      </x:c>
    </x:row>
    <x:row r="329">
      <x:c r="A329" t="n">
        <x:v>9</x:v>
      </x:c>
      <x:c r="B329" t="n">
        <x:v>8</x:v>
      </x:c>
      <x:c r="C329" t="n">
        <x:v>13</x:v>
      </x:c>
      <x:c r="D329" t="n">
        <x:f>MAX(10,ROUNDDOWN((('Calculator'!$B$10+A329)*SQRT('Calculator'!$B$11+B329)*SQRT('Calculator'!$B$12+C329)*0.59740001^2)/10,0))</x:f>
        <x:v>2290</x:v>
      </x:c>
      <x:c r="E329" t="n">
        <x:f>MAX(10,ROUNDDOWN((('Calculator'!$B$10+A329)*SQRT('Calculator'!$B$11+B329)*SQRT('Calculator'!$B$12+C329)*0.667934^2)/10,0))</x:f>
        <x:v>2862</x:v>
      </x:c>
      <x:c r="F329" t="n">
        <x:f>--AND(A329&gt;='Calculator'!$B$5,B329&gt;='Calculator'!$B$5,C329&gt;='Calculator'!$B$5)</x:f>
        <x:v>1</x:v>
      </x:c>
      <x:c r="G329" t="n">
        <x:f>--AND(A329+'Calculator'!$B$6&gt;=15,B329+'Calculator'!$B$6&gt;=15,C329+'Calculator'!$B$6&gt;=15)</x:f>
        <x:v>0</x:v>
      </x:c>
      <x:c r="H329" t="n">
        <x:f>--AND(F329=1,D329='Calculator'!$B$4)</x:f>
        <x:v>0</x:v>
      </x:c>
      <x:c r="I329" t="n">
        <x:f>--AND(H329=1,G329=1)</x:f>
        <x:v>0</x:v>
      </x:c>
      <x:c r="J329" t="n">
        <x:f>--AND(F329=1,E329='Calculator'!$B$4)</x:f>
        <x:v>0</x:v>
      </x:c>
      <x:c r="K329" t="n">
        <x:f>--AND(J329=1,G329=1)</x:f>
        <x:v>0</x:v>
      </x:c>
      <x:c r="L329" t="str">
        <x:f>A329&amp;"/"&amp;B329&amp;"/"&amp;C329</x:f>
        <x:v>9/8/13</x:v>
      </x:c>
      <x:c r="M329" t="str">
        <x:f>MIN(15,A329+'Calculator'!$B$6)&amp;"/"&amp;MIN(15,B329+'Calculator'!$B$6)&amp;"/"&amp;MIN(15,C329+'Calculator'!$B$6)</x:f>
        <x:v>11/10/15</x:v>
      </x:c>
    </x:row>
    <x:row r="330">
      <x:c r="A330" t="n">
        <x:v>9</x:v>
      </x:c>
      <x:c r="B330" t="n">
        <x:v>8</x:v>
      </x:c>
      <x:c r="C330" t="n">
        <x:v>14</x:v>
      </x:c>
      <x:c r="D330" t="n">
        <x:f>MAX(10,ROUNDDOWN((('Calculator'!$B$10+A330)*SQRT('Calculator'!$B$11+B330)*SQRT('Calculator'!$B$12+C330)*0.59740001^2)/10,0))</x:f>
        <x:v>2295</x:v>
      </x:c>
      <x:c r="E330" t="n">
        <x:f>MAX(10,ROUNDDOWN((('Calculator'!$B$10+A330)*SQRT('Calculator'!$B$11+B330)*SQRT('Calculator'!$B$12+C330)*0.667934^2)/10,0))</x:f>
        <x:v>2869</x:v>
      </x:c>
      <x:c r="F330" t="n">
        <x:f>--AND(A330&gt;='Calculator'!$B$5,B330&gt;='Calculator'!$B$5,C330&gt;='Calculator'!$B$5)</x:f>
        <x:v>1</x:v>
      </x:c>
      <x:c r="G330" t="n">
        <x:f>--AND(A330+'Calculator'!$B$6&gt;=15,B330+'Calculator'!$B$6&gt;=15,C330+'Calculator'!$B$6&gt;=15)</x:f>
        <x:v>0</x:v>
      </x:c>
      <x:c r="H330" t="n">
        <x:f>--AND(F330=1,D330='Calculator'!$B$4)</x:f>
        <x:v>0</x:v>
      </x:c>
      <x:c r="I330" t="n">
        <x:f>--AND(H330=1,G330=1)</x:f>
        <x:v>0</x:v>
      </x:c>
      <x:c r="J330" t="n">
        <x:f>--AND(F330=1,E330='Calculator'!$B$4)</x:f>
        <x:v>0</x:v>
      </x:c>
      <x:c r="K330" t="n">
        <x:f>--AND(J330=1,G330=1)</x:f>
        <x:v>0</x:v>
      </x:c>
      <x:c r="L330" t="str">
        <x:f>A330&amp;"/"&amp;B330&amp;"/"&amp;C330</x:f>
        <x:v>9/8/14</x:v>
      </x:c>
      <x:c r="M330" t="str">
        <x:f>MIN(15,A330+'Calculator'!$B$6)&amp;"/"&amp;MIN(15,B330+'Calculator'!$B$6)&amp;"/"&amp;MIN(15,C330+'Calculator'!$B$6)</x:f>
        <x:v>11/10/15</x:v>
      </x:c>
    </x:row>
    <x:row r="331">
      <x:c r="A331" t="n">
        <x:v>9</x:v>
      </x:c>
      <x:c r="B331" t="n">
        <x:v>8</x:v>
      </x:c>
      <x:c r="C331" t="n">
        <x:v>15</x:v>
      </x:c>
      <x:c r="D331" t="n">
        <x:f>MAX(10,ROUNDDOWN((('Calculator'!$B$10+A331)*SQRT('Calculator'!$B$11+B331)*SQRT('Calculator'!$B$12+C331)*0.59740001^2)/10,0))</x:f>
        <x:v>2300</x:v>
      </x:c>
      <x:c r="E331" t="n">
        <x:f>MAX(10,ROUNDDOWN((('Calculator'!$B$10+A331)*SQRT('Calculator'!$B$11+B331)*SQRT('Calculator'!$B$12+C331)*0.667934^2)/10,0))</x:f>
        <x:v>2875</x:v>
      </x:c>
      <x:c r="F331" t="n">
        <x:f>--AND(A331&gt;='Calculator'!$B$5,B331&gt;='Calculator'!$B$5,C331&gt;='Calculator'!$B$5)</x:f>
        <x:v>1</x:v>
      </x:c>
      <x:c r="G331" t="n">
        <x:f>--AND(A331+'Calculator'!$B$6&gt;=15,B331+'Calculator'!$B$6&gt;=15,C331+'Calculator'!$B$6&gt;=15)</x:f>
        <x:v>0</x:v>
      </x:c>
      <x:c r="H331" t="n">
        <x:f>--AND(F331=1,D331='Calculator'!$B$4)</x:f>
        <x:v>0</x:v>
      </x:c>
      <x:c r="I331" t="n">
        <x:f>--AND(H331=1,G331=1)</x:f>
        <x:v>0</x:v>
      </x:c>
      <x:c r="J331" t="n">
        <x:f>--AND(F331=1,E331='Calculator'!$B$4)</x:f>
        <x:v>0</x:v>
      </x:c>
      <x:c r="K331" t="n">
        <x:f>--AND(J331=1,G331=1)</x:f>
        <x:v>0</x:v>
      </x:c>
      <x:c r="L331" t="str">
        <x:f>A331&amp;"/"&amp;B331&amp;"/"&amp;C331</x:f>
        <x:v>9/8/15</x:v>
      </x:c>
      <x:c r="M331" t="str">
        <x:f>MIN(15,A331+'Calculator'!$B$6)&amp;"/"&amp;MIN(15,B331+'Calculator'!$B$6)&amp;"/"&amp;MIN(15,C331+'Calculator'!$B$6)</x:f>
        <x:v>11/10/15</x:v>
      </x:c>
    </x:row>
    <x:row r="332">
      <x:c r="A332" t="n">
        <x:v>9</x:v>
      </x:c>
      <x:c r="B332" t="n">
        <x:v>9</x:v>
      </x:c>
      <x:c r="C332" t="n">
        <x:v>6</x:v>
      </x:c>
      <x:c r="D332" t="n">
        <x:f>MAX(10,ROUNDDOWN((('Calculator'!$B$10+A332)*SQRT('Calculator'!$B$11+B332)*SQRT('Calculator'!$B$12+C332)*0.59740001^2)/10,0))</x:f>
        <x:v>2260</x:v>
      </x:c>
      <x:c r="E332" t="n">
        <x:f>MAX(10,ROUNDDOWN((('Calculator'!$B$10+A332)*SQRT('Calculator'!$B$11+B332)*SQRT('Calculator'!$B$12+C332)*0.667934^2)/10,0))</x:f>
        <x:v>2825</x:v>
      </x:c>
      <x:c r="F332" t="n">
        <x:f>--AND(A332&gt;='Calculator'!$B$5,B332&gt;='Calculator'!$B$5,C332&gt;='Calculator'!$B$5)</x:f>
        <x:v>1</x:v>
      </x:c>
      <x:c r="G332" t="n">
        <x:f>--AND(A332+'Calculator'!$B$6&gt;=15,B332+'Calculator'!$B$6&gt;=15,C332+'Calculator'!$B$6&gt;=15)</x:f>
        <x:v>0</x:v>
      </x:c>
      <x:c r="H332" t="n">
        <x:f>--AND(F332=1,D332='Calculator'!$B$4)</x:f>
        <x:v>0</x:v>
      </x:c>
      <x:c r="I332" t="n">
        <x:f>--AND(H332=1,G332=1)</x:f>
        <x:v>0</x:v>
      </x:c>
      <x:c r="J332" t="n">
        <x:f>--AND(F332=1,E332='Calculator'!$B$4)</x:f>
        <x:v>0</x:v>
      </x:c>
      <x:c r="K332" t="n">
        <x:f>--AND(J332=1,G332=1)</x:f>
        <x:v>0</x:v>
      </x:c>
      <x:c r="L332" t="str">
        <x:f>A332&amp;"/"&amp;B332&amp;"/"&amp;C332</x:f>
        <x:v>9/9/6</x:v>
      </x:c>
      <x:c r="M332" t="str">
        <x:f>MIN(15,A332+'Calculator'!$B$6)&amp;"/"&amp;MIN(15,B332+'Calculator'!$B$6)&amp;"/"&amp;MIN(15,C332+'Calculator'!$B$6)</x:f>
        <x:v>11/11/8</x:v>
      </x:c>
    </x:row>
    <x:row r="333">
      <x:c r="A333" t="n">
        <x:v>9</x:v>
      </x:c>
      <x:c r="B333" t="n">
        <x:v>9</x:v>
      </x:c>
      <x:c r="C333" t="n">
        <x:v>7</x:v>
      </x:c>
      <x:c r="D333" t="n">
        <x:f>MAX(10,ROUNDDOWN((('Calculator'!$B$10+A333)*SQRT('Calculator'!$B$11+B333)*SQRT('Calculator'!$B$12+C333)*0.59740001^2)/10,0))</x:f>
        <x:v>2265</x:v>
      </x:c>
      <x:c r="E333" t="n">
        <x:f>MAX(10,ROUNDDOWN((('Calculator'!$B$10+A333)*SQRT('Calculator'!$B$11+B333)*SQRT('Calculator'!$B$12+C333)*0.667934^2)/10,0))</x:f>
        <x:v>2832</x:v>
      </x:c>
      <x:c r="F333" t="n">
        <x:f>--AND(A333&gt;='Calculator'!$B$5,B333&gt;='Calculator'!$B$5,C333&gt;='Calculator'!$B$5)</x:f>
        <x:v>1</x:v>
      </x:c>
      <x:c r="G333" t="n">
        <x:f>--AND(A333+'Calculator'!$B$6&gt;=15,B333+'Calculator'!$B$6&gt;=15,C333+'Calculator'!$B$6&gt;=15)</x:f>
        <x:v>0</x:v>
      </x:c>
      <x:c r="H333" t="n">
        <x:f>--AND(F333=1,D333='Calculator'!$B$4)</x:f>
        <x:v>0</x:v>
      </x:c>
      <x:c r="I333" t="n">
        <x:f>--AND(H333=1,G333=1)</x:f>
        <x:v>0</x:v>
      </x:c>
      <x:c r="J333" t="n">
        <x:f>--AND(F333=1,E333='Calculator'!$B$4)</x:f>
        <x:v>0</x:v>
      </x:c>
      <x:c r="K333" t="n">
        <x:f>--AND(J333=1,G333=1)</x:f>
        <x:v>0</x:v>
      </x:c>
      <x:c r="L333" t="str">
        <x:f>A333&amp;"/"&amp;B333&amp;"/"&amp;C333</x:f>
        <x:v>9/9/7</x:v>
      </x:c>
      <x:c r="M333" t="str">
        <x:f>MIN(15,A333+'Calculator'!$B$6)&amp;"/"&amp;MIN(15,B333+'Calculator'!$B$6)&amp;"/"&amp;MIN(15,C333+'Calculator'!$B$6)</x:f>
        <x:v>11/11/9</x:v>
      </x:c>
    </x:row>
    <x:row r="334">
      <x:c r="A334" t="n">
        <x:v>9</x:v>
      </x:c>
      <x:c r="B334" t="n">
        <x:v>9</x:v>
      </x:c>
      <x:c r="C334" t="n">
        <x:v>8</x:v>
      </x:c>
      <x:c r="D334" t="n">
        <x:f>MAX(10,ROUNDDOWN((('Calculator'!$B$10+A334)*SQRT('Calculator'!$B$11+B334)*SQRT('Calculator'!$B$12+C334)*0.59740001^2)/10,0))</x:f>
        <x:v>2270</x:v>
      </x:c>
      <x:c r="E334" t="n">
        <x:f>MAX(10,ROUNDDOWN((('Calculator'!$B$10+A334)*SQRT('Calculator'!$B$11+B334)*SQRT('Calculator'!$B$12+C334)*0.667934^2)/10,0))</x:f>
        <x:v>2838</x:v>
      </x:c>
      <x:c r="F334" t="n">
        <x:f>--AND(A334&gt;='Calculator'!$B$5,B334&gt;='Calculator'!$B$5,C334&gt;='Calculator'!$B$5)</x:f>
        <x:v>1</x:v>
      </x:c>
      <x:c r="G334" t="n">
        <x:f>--AND(A334+'Calculator'!$B$6&gt;=15,B334+'Calculator'!$B$6&gt;=15,C334+'Calculator'!$B$6&gt;=15)</x:f>
        <x:v>0</x:v>
      </x:c>
      <x:c r="H334" t="n">
        <x:f>--AND(F334=1,D334='Calculator'!$B$4)</x:f>
        <x:v>0</x:v>
      </x:c>
      <x:c r="I334" t="n">
        <x:f>--AND(H334=1,G334=1)</x:f>
        <x:v>0</x:v>
      </x:c>
      <x:c r="J334" t="n">
        <x:f>--AND(F334=1,E334='Calculator'!$B$4)</x:f>
        <x:v>0</x:v>
      </x:c>
      <x:c r="K334" t="n">
        <x:f>--AND(J334=1,G334=1)</x:f>
        <x:v>0</x:v>
      </x:c>
      <x:c r="L334" t="str">
        <x:f>A334&amp;"/"&amp;B334&amp;"/"&amp;C334</x:f>
        <x:v>9/9/8</x:v>
      </x:c>
      <x:c r="M334" t="str">
        <x:f>MIN(15,A334+'Calculator'!$B$6)&amp;"/"&amp;MIN(15,B334+'Calculator'!$B$6)&amp;"/"&amp;MIN(15,C334+'Calculator'!$B$6)</x:f>
        <x:v>11/11/10</x:v>
      </x:c>
    </x:row>
    <x:row r="335">
      <x:c r="A335" t="n">
        <x:v>9</x:v>
      </x:c>
      <x:c r="B335" t="n">
        <x:v>9</x:v>
      </x:c>
      <x:c r="C335" t="n">
        <x:v>9</x:v>
      </x:c>
      <x:c r="D335" t="n">
        <x:f>MAX(10,ROUNDDOWN((('Calculator'!$B$10+A335)*SQRT('Calculator'!$B$11+B335)*SQRT('Calculator'!$B$12+C335)*0.59740001^2)/10,0))</x:f>
        <x:v>2275</x:v>
      </x:c>
      <x:c r="E335" t="n">
        <x:f>MAX(10,ROUNDDOWN((('Calculator'!$B$10+A335)*SQRT('Calculator'!$B$11+B335)*SQRT('Calculator'!$B$12+C335)*0.667934^2)/10,0))</x:f>
        <x:v>2845</x:v>
      </x:c>
      <x:c r="F335" t="n">
        <x:f>--AND(A335&gt;='Calculator'!$B$5,B335&gt;='Calculator'!$B$5,C335&gt;='Calculator'!$B$5)</x:f>
        <x:v>1</x:v>
      </x:c>
      <x:c r="G335" t="n">
        <x:f>--AND(A335+'Calculator'!$B$6&gt;=15,B335+'Calculator'!$B$6&gt;=15,C335+'Calculator'!$B$6&gt;=15)</x:f>
        <x:v>0</x:v>
      </x:c>
      <x:c r="H335" t="n">
        <x:f>--AND(F335=1,D335='Calculator'!$B$4)</x:f>
        <x:v>0</x:v>
      </x:c>
      <x:c r="I335" t="n">
        <x:f>--AND(H335=1,G335=1)</x:f>
        <x:v>0</x:v>
      </x:c>
      <x:c r="J335" t="n">
        <x:f>--AND(F335=1,E335='Calculator'!$B$4)</x:f>
        <x:v>0</x:v>
      </x:c>
      <x:c r="K335" t="n">
        <x:f>--AND(J335=1,G335=1)</x:f>
        <x:v>0</x:v>
      </x:c>
      <x:c r="L335" t="str">
        <x:f>A335&amp;"/"&amp;B335&amp;"/"&amp;C335</x:f>
        <x:v>9/9/9</x:v>
      </x:c>
      <x:c r="M335" t="str">
        <x:f>MIN(15,A335+'Calculator'!$B$6)&amp;"/"&amp;MIN(15,B335+'Calculator'!$B$6)&amp;"/"&amp;MIN(15,C335+'Calculator'!$B$6)</x:f>
        <x:v>11/11/11</x:v>
      </x:c>
    </x:row>
    <x:row r="336">
      <x:c r="A336" t="n">
        <x:v>9</x:v>
      </x:c>
      <x:c r="B336" t="n">
        <x:v>9</x:v>
      </x:c>
      <x:c r="C336" t="n">
        <x:v>10</x:v>
      </x:c>
      <x:c r="D336" t="n">
        <x:f>MAX(10,ROUNDDOWN((('Calculator'!$B$10+A336)*SQRT('Calculator'!$B$11+B336)*SQRT('Calculator'!$B$12+C336)*0.59740001^2)/10,0))</x:f>
        <x:v>2281</x:v>
      </x:c>
      <x:c r="E336" t="n">
        <x:f>MAX(10,ROUNDDOWN((('Calculator'!$B$10+A336)*SQRT('Calculator'!$B$11+B336)*SQRT('Calculator'!$B$12+C336)*0.667934^2)/10,0))</x:f>
        <x:v>2851</x:v>
      </x:c>
      <x:c r="F336" t="n">
        <x:f>--AND(A336&gt;='Calculator'!$B$5,B336&gt;='Calculator'!$B$5,C336&gt;='Calculator'!$B$5)</x:f>
        <x:v>1</x:v>
      </x:c>
      <x:c r="G336" t="n">
        <x:f>--AND(A336+'Calculator'!$B$6&gt;=15,B336+'Calculator'!$B$6&gt;=15,C336+'Calculator'!$B$6&gt;=15)</x:f>
        <x:v>0</x:v>
      </x:c>
      <x:c r="H336" t="n">
        <x:f>--AND(F336=1,D336='Calculator'!$B$4)</x:f>
        <x:v>0</x:v>
      </x:c>
      <x:c r="I336" t="n">
        <x:f>--AND(H336=1,G336=1)</x:f>
        <x:v>0</x:v>
      </x:c>
      <x:c r="J336" t="n">
        <x:f>--AND(F336=1,E336='Calculator'!$B$4)</x:f>
        <x:v>0</x:v>
      </x:c>
      <x:c r="K336" t="n">
        <x:f>--AND(J336=1,G336=1)</x:f>
        <x:v>0</x:v>
      </x:c>
      <x:c r="L336" t="str">
        <x:f>A336&amp;"/"&amp;B336&amp;"/"&amp;C336</x:f>
        <x:v>9/9/10</x:v>
      </x:c>
      <x:c r="M336" t="str">
        <x:f>MIN(15,A336+'Calculator'!$B$6)&amp;"/"&amp;MIN(15,B336+'Calculator'!$B$6)&amp;"/"&amp;MIN(15,C336+'Calculator'!$B$6)</x:f>
        <x:v>11/11/12</x:v>
      </x:c>
    </x:row>
    <x:row r="337">
      <x:c r="A337" t="n">
        <x:v>9</x:v>
      </x:c>
      <x:c r="B337" t="n">
        <x:v>9</x:v>
      </x:c>
      <x:c r="C337" t="n">
        <x:v>11</x:v>
      </x:c>
      <x:c r="D337" t="n">
        <x:f>MAX(10,ROUNDDOWN((('Calculator'!$B$10+A337)*SQRT('Calculator'!$B$11+B337)*SQRT('Calculator'!$B$12+C337)*0.59740001^2)/10,0))</x:f>
        <x:v>2286</x:v>
      </x:c>
      <x:c r="E337" t="n">
        <x:f>MAX(10,ROUNDDOWN((('Calculator'!$B$10+A337)*SQRT('Calculator'!$B$11+B337)*SQRT('Calculator'!$B$12+C337)*0.667934^2)/10,0))</x:f>
        <x:v>2857</x:v>
      </x:c>
      <x:c r="F337" t="n">
        <x:f>--AND(A337&gt;='Calculator'!$B$5,B337&gt;='Calculator'!$B$5,C337&gt;='Calculator'!$B$5)</x:f>
        <x:v>1</x:v>
      </x:c>
      <x:c r="G337" t="n">
        <x:f>--AND(A337+'Calculator'!$B$6&gt;=15,B337+'Calculator'!$B$6&gt;=15,C337+'Calculator'!$B$6&gt;=15)</x:f>
        <x:v>0</x:v>
      </x:c>
      <x:c r="H337" t="n">
        <x:f>--AND(F337=1,D337='Calculator'!$B$4)</x:f>
        <x:v>0</x:v>
      </x:c>
      <x:c r="I337" t="n">
        <x:f>--AND(H337=1,G337=1)</x:f>
        <x:v>0</x:v>
      </x:c>
      <x:c r="J337" t="n">
        <x:f>--AND(F337=1,E337='Calculator'!$B$4)</x:f>
        <x:v>0</x:v>
      </x:c>
      <x:c r="K337" t="n">
        <x:f>--AND(J337=1,G337=1)</x:f>
        <x:v>0</x:v>
      </x:c>
      <x:c r="L337" t="str">
        <x:f>A337&amp;"/"&amp;B337&amp;"/"&amp;C337</x:f>
        <x:v>9/9/11</x:v>
      </x:c>
      <x:c r="M337" t="str">
        <x:f>MIN(15,A337+'Calculator'!$B$6)&amp;"/"&amp;MIN(15,B337+'Calculator'!$B$6)&amp;"/"&amp;MIN(15,C337+'Calculator'!$B$6)</x:f>
        <x:v>11/11/13</x:v>
      </x:c>
    </x:row>
    <x:row r="338">
      <x:c r="A338" t="n">
        <x:v>9</x:v>
      </x:c>
      <x:c r="B338" t="n">
        <x:v>9</x:v>
      </x:c>
      <x:c r="C338" t="n">
        <x:v>12</x:v>
      </x:c>
      <x:c r="D338" t="n">
        <x:f>MAX(10,ROUNDDOWN((('Calculator'!$B$10+A338)*SQRT('Calculator'!$B$11+B338)*SQRT('Calculator'!$B$12+C338)*0.59740001^2)/10,0))</x:f>
        <x:v>2291</x:v>
      </x:c>
      <x:c r="E338" t="n">
        <x:f>MAX(10,ROUNDDOWN((('Calculator'!$B$10+A338)*SQRT('Calculator'!$B$11+B338)*SQRT('Calculator'!$B$12+C338)*0.667934^2)/10,0))</x:f>
        <x:v>2864</x:v>
      </x:c>
      <x:c r="F338" t="n">
        <x:f>--AND(A338&gt;='Calculator'!$B$5,B338&gt;='Calculator'!$B$5,C338&gt;='Calculator'!$B$5)</x:f>
        <x:v>1</x:v>
      </x:c>
      <x:c r="G338" t="n">
        <x:f>--AND(A338+'Calculator'!$B$6&gt;=15,B338+'Calculator'!$B$6&gt;=15,C338+'Calculator'!$B$6&gt;=15)</x:f>
        <x:v>0</x:v>
      </x:c>
      <x:c r="H338" t="n">
        <x:f>--AND(F338=1,D338='Calculator'!$B$4)</x:f>
        <x:v>0</x:v>
      </x:c>
      <x:c r="I338" t="n">
        <x:f>--AND(H338=1,G338=1)</x:f>
        <x:v>0</x:v>
      </x:c>
      <x:c r="J338" t="n">
        <x:f>--AND(F338=1,E338='Calculator'!$B$4)</x:f>
        <x:v>0</x:v>
      </x:c>
      <x:c r="K338" t="n">
        <x:f>--AND(J338=1,G338=1)</x:f>
        <x:v>0</x:v>
      </x:c>
      <x:c r="L338" t="str">
        <x:f>A338&amp;"/"&amp;B338&amp;"/"&amp;C338</x:f>
        <x:v>9/9/12</x:v>
      </x:c>
      <x:c r="M338" t="str">
        <x:f>MIN(15,A338+'Calculator'!$B$6)&amp;"/"&amp;MIN(15,B338+'Calculator'!$B$6)&amp;"/"&amp;MIN(15,C338+'Calculator'!$B$6)</x:f>
        <x:v>11/11/14</x:v>
      </x:c>
    </x:row>
    <x:row r="339">
      <x:c r="A339" t="n">
        <x:v>9</x:v>
      </x:c>
      <x:c r="B339" t="n">
        <x:v>9</x:v>
      </x:c>
      <x:c r="C339" t="n">
        <x:v>13</x:v>
      </x:c>
      <x:c r="D339" t="n">
        <x:f>MAX(10,ROUNDDOWN((('Calculator'!$B$10+A339)*SQRT('Calculator'!$B$11+B339)*SQRT('Calculator'!$B$12+C339)*0.59740001^2)/10,0))</x:f>
        <x:v>2296</x:v>
      </x:c>
      <x:c r="E339" t="n">
        <x:f>MAX(10,ROUNDDOWN((('Calculator'!$B$10+A339)*SQRT('Calculator'!$B$11+B339)*SQRT('Calculator'!$B$12+C339)*0.667934^2)/10,0))</x:f>
        <x:v>2870</x:v>
      </x:c>
      <x:c r="F339" t="n">
        <x:f>--AND(A339&gt;='Calculator'!$B$5,B339&gt;='Calculator'!$B$5,C339&gt;='Calculator'!$B$5)</x:f>
        <x:v>1</x:v>
      </x:c>
      <x:c r="G339" t="n">
        <x:f>--AND(A339+'Calculator'!$B$6&gt;=15,B339+'Calculator'!$B$6&gt;=15,C339+'Calculator'!$B$6&gt;=15)</x:f>
        <x:v>0</x:v>
      </x:c>
      <x:c r="H339" t="n">
        <x:f>--AND(F339=1,D339='Calculator'!$B$4)</x:f>
        <x:v>0</x:v>
      </x:c>
      <x:c r="I339" t="n">
        <x:f>--AND(H339=1,G339=1)</x:f>
        <x:v>0</x:v>
      </x:c>
      <x:c r="J339" t="n">
        <x:f>--AND(F339=1,E339='Calculator'!$B$4)</x:f>
        <x:v>0</x:v>
      </x:c>
      <x:c r="K339" t="n">
        <x:f>--AND(J339=1,G339=1)</x:f>
        <x:v>0</x:v>
      </x:c>
      <x:c r="L339" t="str">
        <x:f>A339&amp;"/"&amp;B339&amp;"/"&amp;C339</x:f>
        <x:v>9/9/13</x:v>
      </x:c>
      <x:c r="M339" t="str">
        <x:f>MIN(15,A339+'Calculator'!$B$6)&amp;"/"&amp;MIN(15,B339+'Calculator'!$B$6)&amp;"/"&amp;MIN(15,C339+'Calculator'!$B$6)</x:f>
        <x:v>11/11/15</x:v>
      </x:c>
    </x:row>
    <x:row r="340">
      <x:c r="A340" t="n">
        <x:v>9</x:v>
      </x:c>
      <x:c r="B340" t="n">
        <x:v>9</x:v>
      </x:c>
      <x:c r="C340" t="n">
        <x:v>14</x:v>
      </x:c>
      <x:c r="D340" t="n">
        <x:f>MAX(10,ROUNDDOWN((('Calculator'!$B$10+A340)*SQRT('Calculator'!$B$11+B340)*SQRT('Calculator'!$B$12+C340)*0.59740001^2)/10,0))</x:f>
        <x:v>2301</x:v>
      </x:c>
      <x:c r="E340" t="n">
        <x:f>MAX(10,ROUNDDOWN((('Calculator'!$B$10+A340)*SQRT('Calculator'!$B$11+B340)*SQRT('Calculator'!$B$12+C340)*0.667934^2)/10,0))</x:f>
        <x:v>2876</x:v>
      </x:c>
      <x:c r="F340" t="n">
        <x:f>--AND(A340&gt;='Calculator'!$B$5,B340&gt;='Calculator'!$B$5,C340&gt;='Calculator'!$B$5)</x:f>
        <x:v>1</x:v>
      </x:c>
      <x:c r="G340" t="n">
        <x:f>--AND(A340+'Calculator'!$B$6&gt;=15,B340+'Calculator'!$B$6&gt;=15,C340+'Calculator'!$B$6&gt;=15)</x:f>
        <x:v>0</x:v>
      </x:c>
      <x:c r="H340" t="n">
        <x:f>--AND(F340=1,D340='Calculator'!$B$4)</x:f>
        <x:v>0</x:v>
      </x:c>
      <x:c r="I340" t="n">
        <x:f>--AND(H340=1,G340=1)</x:f>
        <x:v>0</x:v>
      </x:c>
      <x:c r="J340" t="n">
        <x:f>--AND(F340=1,E340='Calculator'!$B$4)</x:f>
        <x:v>0</x:v>
      </x:c>
      <x:c r="K340" t="n">
        <x:f>--AND(J340=1,G340=1)</x:f>
        <x:v>0</x:v>
      </x:c>
      <x:c r="L340" t="str">
        <x:f>A340&amp;"/"&amp;B340&amp;"/"&amp;C340</x:f>
        <x:v>9/9/14</x:v>
      </x:c>
      <x:c r="M340" t="str">
        <x:f>MIN(15,A340+'Calculator'!$B$6)&amp;"/"&amp;MIN(15,B340+'Calculator'!$B$6)&amp;"/"&amp;MIN(15,C340+'Calculator'!$B$6)</x:f>
        <x:v>11/11/15</x:v>
      </x:c>
    </x:row>
    <x:row r="341">
      <x:c r="A341" t="n">
        <x:v>9</x:v>
      </x:c>
      <x:c r="B341" t="n">
        <x:v>9</x:v>
      </x:c>
      <x:c r="C341" t="n">
        <x:v>15</x:v>
      </x:c>
      <x:c r="D341" t="n">
        <x:f>MAX(10,ROUNDDOWN((('Calculator'!$B$10+A341)*SQRT('Calculator'!$B$11+B341)*SQRT('Calculator'!$B$12+C341)*0.59740001^2)/10,0))</x:f>
        <x:v>2306</x:v>
      </x:c>
      <x:c r="E341" t="n">
        <x:f>MAX(10,ROUNDDOWN((('Calculator'!$B$10+A341)*SQRT('Calculator'!$B$11+B341)*SQRT('Calculator'!$B$12+C341)*0.667934^2)/10,0))</x:f>
        <x:v>2883</x:v>
      </x:c>
      <x:c r="F341" t="n">
        <x:f>--AND(A341&gt;='Calculator'!$B$5,B341&gt;='Calculator'!$B$5,C341&gt;='Calculator'!$B$5)</x:f>
        <x:v>1</x:v>
      </x:c>
      <x:c r="G341" t="n">
        <x:f>--AND(A341+'Calculator'!$B$6&gt;=15,B341+'Calculator'!$B$6&gt;=15,C341+'Calculator'!$B$6&gt;=15)</x:f>
        <x:v>0</x:v>
      </x:c>
      <x:c r="H341" t="n">
        <x:f>--AND(F341=1,D341='Calculator'!$B$4)</x:f>
        <x:v>0</x:v>
      </x:c>
      <x:c r="I341" t="n">
        <x:f>--AND(H341=1,G341=1)</x:f>
        <x:v>0</x:v>
      </x:c>
      <x:c r="J341" t="n">
        <x:f>--AND(F341=1,E341='Calculator'!$B$4)</x:f>
        <x:v>0</x:v>
      </x:c>
      <x:c r="K341" t="n">
        <x:f>--AND(J341=1,G341=1)</x:f>
        <x:v>0</x:v>
      </x:c>
      <x:c r="L341" t="str">
        <x:f>A341&amp;"/"&amp;B341&amp;"/"&amp;C341</x:f>
        <x:v>9/9/15</x:v>
      </x:c>
      <x:c r="M341" t="str">
        <x:f>MIN(15,A341+'Calculator'!$B$6)&amp;"/"&amp;MIN(15,B341+'Calculator'!$B$6)&amp;"/"&amp;MIN(15,C341+'Calculator'!$B$6)</x:f>
        <x:v>11/11/15</x:v>
      </x:c>
    </x:row>
    <x:row r="342">
      <x:c r="A342" t="n">
        <x:v>9</x:v>
      </x:c>
      <x:c r="B342" t="n">
        <x:v>10</x:v>
      </x:c>
      <x:c r="C342" t="n">
        <x:v>6</x:v>
      </x:c>
      <x:c r="D342" t="n">
        <x:f>MAX(10,ROUNDDOWN((('Calculator'!$B$10+A342)*SQRT('Calculator'!$B$11+B342)*SQRT('Calculator'!$B$12+C342)*0.59740001^2)/10,0))</x:f>
        <x:v>2266</x:v>
      </x:c>
      <x:c r="E342" t="n">
        <x:f>MAX(10,ROUNDDOWN((('Calculator'!$B$10+A342)*SQRT('Calculator'!$B$11+B342)*SQRT('Calculator'!$B$12+C342)*0.667934^2)/10,0))</x:f>
        <x:v>2833</x:v>
      </x:c>
      <x:c r="F342" t="n">
        <x:f>--AND(A342&gt;='Calculator'!$B$5,B342&gt;='Calculator'!$B$5,C342&gt;='Calculator'!$B$5)</x:f>
        <x:v>1</x:v>
      </x:c>
      <x:c r="G342" t="n">
        <x:f>--AND(A342+'Calculator'!$B$6&gt;=15,B342+'Calculator'!$B$6&gt;=15,C342+'Calculator'!$B$6&gt;=15)</x:f>
        <x:v>0</x:v>
      </x:c>
      <x:c r="H342" t="n">
        <x:f>--AND(F342=1,D342='Calculator'!$B$4)</x:f>
        <x:v>0</x:v>
      </x:c>
      <x:c r="I342" t="n">
        <x:f>--AND(H342=1,G342=1)</x:f>
        <x:v>0</x:v>
      </x:c>
      <x:c r="J342" t="n">
        <x:f>--AND(F342=1,E342='Calculator'!$B$4)</x:f>
        <x:v>0</x:v>
      </x:c>
      <x:c r="K342" t="n">
        <x:f>--AND(J342=1,G342=1)</x:f>
        <x:v>0</x:v>
      </x:c>
      <x:c r="L342" t="str">
        <x:f>A342&amp;"/"&amp;B342&amp;"/"&amp;C342</x:f>
        <x:v>9/10/6</x:v>
      </x:c>
      <x:c r="M342" t="str">
        <x:f>MIN(15,A342+'Calculator'!$B$6)&amp;"/"&amp;MIN(15,B342+'Calculator'!$B$6)&amp;"/"&amp;MIN(15,C342+'Calculator'!$B$6)</x:f>
        <x:v>11/12/8</x:v>
      </x:c>
    </x:row>
    <x:row r="343">
      <x:c r="A343" t="n">
        <x:v>9</x:v>
      </x:c>
      <x:c r="B343" t="n">
        <x:v>10</x:v>
      </x:c>
      <x:c r="C343" t="n">
        <x:v>7</x:v>
      </x:c>
      <x:c r="D343" t="n">
        <x:f>MAX(10,ROUNDDOWN((('Calculator'!$B$10+A343)*SQRT('Calculator'!$B$11+B343)*SQRT('Calculator'!$B$12+C343)*0.59740001^2)/10,0))</x:f>
        <x:v>2271</x:v>
      </x:c>
      <x:c r="E343" t="n">
        <x:f>MAX(10,ROUNDDOWN((('Calculator'!$B$10+A343)*SQRT('Calculator'!$B$11+B343)*SQRT('Calculator'!$B$12+C343)*0.667934^2)/10,0))</x:f>
        <x:v>2839</x:v>
      </x:c>
      <x:c r="F343" t="n">
        <x:f>--AND(A343&gt;='Calculator'!$B$5,B343&gt;='Calculator'!$B$5,C343&gt;='Calculator'!$B$5)</x:f>
        <x:v>1</x:v>
      </x:c>
      <x:c r="G343" t="n">
        <x:f>--AND(A343+'Calculator'!$B$6&gt;=15,B343+'Calculator'!$B$6&gt;=15,C343+'Calculator'!$B$6&gt;=15)</x:f>
        <x:v>0</x:v>
      </x:c>
      <x:c r="H343" t="n">
        <x:f>--AND(F343=1,D343='Calculator'!$B$4)</x:f>
        <x:v>0</x:v>
      </x:c>
      <x:c r="I343" t="n">
        <x:f>--AND(H343=1,G343=1)</x:f>
        <x:v>0</x:v>
      </x:c>
      <x:c r="J343" t="n">
        <x:f>--AND(F343=1,E343='Calculator'!$B$4)</x:f>
        <x:v>0</x:v>
      </x:c>
      <x:c r="K343" t="n">
        <x:f>--AND(J343=1,G343=1)</x:f>
        <x:v>0</x:v>
      </x:c>
      <x:c r="L343" t="str">
        <x:f>A343&amp;"/"&amp;B343&amp;"/"&amp;C343</x:f>
        <x:v>9/10/7</x:v>
      </x:c>
      <x:c r="M343" t="str">
        <x:f>MIN(15,A343+'Calculator'!$B$6)&amp;"/"&amp;MIN(15,B343+'Calculator'!$B$6)&amp;"/"&amp;MIN(15,C343+'Calculator'!$B$6)</x:f>
        <x:v>11/12/9</x:v>
      </x:c>
    </x:row>
    <x:row r="344">
      <x:c r="A344" t="n">
        <x:v>9</x:v>
      </x:c>
      <x:c r="B344" t="n">
        <x:v>10</x:v>
      </x:c>
      <x:c r="C344" t="n">
        <x:v>8</x:v>
      </x:c>
      <x:c r="D344" t="n">
        <x:f>MAX(10,ROUNDDOWN((('Calculator'!$B$10+A344)*SQRT('Calculator'!$B$11+B344)*SQRT('Calculator'!$B$12+C344)*0.59740001^2)/10,0))</x:f>
        <x:v>2276</x:v>
      </x:c>
      <x:c r="E344" t="n">
        <x:f>MAX(10,ROUNDDOWN((('Calculator'!$B$10+A344)*SQRT('Calculator'!$B$11+B344)*SQRT('Calculator'!$B$12+C344)*0.667934^2)/10,0))</x:f>
        <x:v>2846</x:v>
      </x:c>
      <x:c r="F344" t="n">
        <x:f>--AND(A344&gt;='Calculator'!$B$5,B344&gt;='Calculator'!$B$5,C344&gt;='Calculator'!$B$5)</x:f>
        <x:v>1</x:v>
      </x:c>
      <x:c r="G344" t="n">
        <x:f>--AND(A344+'Calculator'!$B$6&gt;=15,B344+'Calculator'!$B$6&gt;=15,C344+'Calculator'!$B$6&gt;=15)</x:f>
        <x:v>0</x:v>
      </x:c>
      <x:c r="H344" t="n">
        <x:f>--AND(F344=1,D344='Calculator'!$B$4)</x:f>
        <x:v>0</x:v>
      </x:c>
      <x:c r="I344" t="n">
        <x:f>--AND(H344=1,G344=1)</x:f>
        <x:v>0</x:v>
      </x:c>
      <x:c r="J344" t="n">
        <x:f>--AND(F344=1,E344='Calculator'!$B$4)</x:f>
        <x:v>0</x:v>
      </x:c>
      <x:c r="K344" t="n">
        <x:f>--AND(J344=1,G344=1)</x:f>
        <x:v>0</x:v>
      </x:c>
      <x:c r="L344" t="str">
        <x:f>A344&amp;"/"&amp;B344&amp;"/"&amp;C344</x:f>
        <x:v>9/10/8</x:v>
      </x:c>
      <x:c r="M344" t="str">
        <x:f>MIN(15,A344+'Calculator'!$B$6)&amp;"/"&amp;MIN(15,B344+'Calculator'!$B$6)&amp;"/"&amp;MIN(15,C344+'Calculator'!$B$6)</x:f>
        <x:v>11/12/10</x:v>
      </x:c>
    </x:row>
    <x:row r="345">
      <x:c r="A345" t="n">
        <x:v>9</x:v>
      </x:c>
      <x:c r="B345" t="n">
        <x:v>10</x:v>
      </x:c>
      <x:c r="C345" t="n">
        <x:v>9</x:v>
      </x:c>
      <x:c r="D345" t="n">
        <x:f>MAX(10,ROUNDDOWN((('Calculator'!$B$10+A345)*SQRT('Calculator'!$B$11+B345)*SQRT('Calculator'!$B$12+C345)*0.59740001^2)/10,0))</x:f>
        <x:v>2281</x:v>
      </x:c>
      <x:c r="E345" t="n">
        <x:f>MAX(10,ROUNDDOWN((('Calculator'!$B$10+A345)*SQRT('Calculator'!$B$11+B345)*SQRT('Calculator'!$B$12+C345)*0.667934^2)/10,0))</x:f>
        <x:v>2852</x:v>
      </x:c>
      <x:c r="F345" t="n">
        <x:f>--AND(A345&gt;='Calculator'!$B$5,B345&gt;='Calculator'!$B$5,C345&gt;='Calculator'!$B$5)</x:f>
        <x:v>1</x:v>
      </x:c>
      <x:c r="G345" t="n">
        <x:f>--AND(A345+'Calculator'!$B$6&gt;=15,B345+'Calculator'!$B$6&gt;=15,C345+'Calculator'!$B$6&gt;=15)</x:f>
        <x:v>0</x:v>
      </x:c>
      <x:c r="H345" t="n">
        <x:f>--AND(F345=1,D345='Calculator'!$B$4)</x:f>
        <x:v>0</x:v>
      </x:c>
      <x:c r="I345" t="n">
        <x:f>--AND(H345=1,G345=1)</x:f>
        <x:v>0</x:v>
      </x:c>
      <x:c r="J345" t="n">
        <x:f>--AND(F345=1,E345='Calculator'!$B$4)</x:f>
        <x:v>0</x:v>
      </x:c>
      <x:c r="K345" t="n">
        <x:f>--AND(J345=1,G345=1)</x:f>
        <x:v>0</x:v>
      </x:c>
      <x:c r="L345" t="str">
        <x:f>A345&amp;"/"&amp;B345&amp;"/"&amp;C345</x:f>
        <x:v>9/10/9</x:v>
      </x:c>
      <x:c r="M345" t="str">
        <x:f>MIN(15,A345+'Calculator'!$B$6)&amp;"/"&amp;MIN(15,B345+'Calculator'!$B$6)&amp;"/"&amp;MIN(15,C345+'Calculator'!$B$6)</x:f>
        <x:v>11/12/11</x:v>
      </x:c>
    </x:row>
    <x:row r="346">
      <x:c r="A346" t="n">
        <x:v>9</x:v>
      </x:c>
      <x:c r="B346" t="n">
        <x:v>10</x:v>
      </x:c>
      <x:c r="C346" t="n">
        <x:v>10</x:v>
      </x:c>
      <x:c r="D346" t="n">
        <x:f>MAX(10,ROUNDDOWN((('Calculator'!$B$10+A346)*SQRT('Calculator'!$B$11+B346)*SQRT('Calculator'!$B$12+C346)*0.59740001^2)/10,0))</x:f>
        <x:v>2286</x:v>
      </x:c>
      <x:c r="E346" t="n">
        <x:f>MAX(10,ROUNDDOWN((('Calculator'!$B$10+A346)*SQRT('Calculator'!$B$11+B346)*SQRT('Calculator'!$B$12+C346)*0.667934^2)/10,0))</x:f>
        <x:v>2858</x:v>
      </x:c>
      <x:c r="F346" t="n">
        <x:f>--AND(A346&gt;='Calculator'!$B$5,B346&gt;='Calculator'!$B$5,C346&gt;='Calculator'!$B$5)</x:f>
        <x:v>1</x:v>
      </x:c>
      <x:c r="G346" t="n">
        <x:f>--AND(A346+'Calculator'!$B$6&gt;=15,B346+'Calculator'!$B$6&gt;=15,C346+'Calculator'!$B$6&gt;=15)</x:f>
        <x:v>0</x:v>
      </x:c>
      <x:c r="H346" t="n">
        <x:f>--AND(F346=1,D346='Calculator'!$B$4)</x:f>
        <x:v>0</x:v>
      </x:c>
      <x:c r="I346" t="n">
        <x:f>--AND(H346=1,G346=1)</x:f>
        <x:v>0</x:v>
      </x:c>
      <x:c r="J346" t="n">
        <x:f>--AND(F346=1,E346='Calculator'!$B$4)</x:f>
        <x:v>0</x:v>
      </x:c>
      <x:c r="K346" t="n">
        <x:f>--AND(J346=1,G346=1)</x:f>
        <x:v>0</x:v>
      </x:c>
      <x:c r="L346" t="str">
        <x:f>A346&amp;"/"&amp;B346&amp;"/"&amp;C346</x:f>
        <x:v>9/10/10</x:v>
      </x:c>
      <x:c r="M346" t="str">
        <x:f>MIN(15,A346+'Calculator'!$B$6)&amp;"/"&amp;MIN(15,B346+'Calculator'!$B$6)&amp;"/"&amp;MIN(15,C346+'Calculator'!$B$6)</x:f>
        <x:v>11/12/12</x:v>
      </x:c>
    </x:row>
    <x:row r="347">
      <x:c r="A347" t="n">
        <x:v>9</x:v>
      </x:c>
      <x:c r="B347" t="n">
        <x:v>10</x:v>
      </x:c>
      <x:c r="C347" t="n">
        <x:v>11</x:v>
      </x:c>
      <x:c r="D347" t="n">
        <x:f>MAX(10,ROUNDDOWN((('Calculator'!$B$10+A347)*SQRT('Calculator'!$B$11+B347)*SQRT('Calculator'!$B$12+C347)*0.59740001^2)/10,0))</x:f>
        <x:v>2292</x:v>
      </x:c>
      <x:c r="E347" t="n">
        <x:f>MAX(10,ROUNDDOWN((('Calculator'!$B$10+A347)*SQRT('Calculator'!$B$11+B347)*SQRT('Calculator'!$B$12+C347)*0.667934^2)/10,0))</x:f>
        <x:v>2865</x:v>
      </x:c>
      <x:c r="F347" t="n">
        <x:f>--AND(A347&gt;='Calculator'!$B$5,B347&gt;='Calculator'!$B$5,C347&gt;='Calculator'!$B$5)</x:f>
        <x:v>1</x:v>
      </x:c>
      <x:c r="G347" t="n">
        <x:f>--AND(A347+'Calculator'!$B$6&gt;=15,B347+'Calculator'!$B$6&gt;=15,C347+'Calculator'!$B$6&gt;=15)</x:f>
        <x:v>0</x:v>
      </x:c>
      <x:c r="H347" t="n">
        <x:f>--AND(F347=1,D347='Calculator'!$B$4)</x:f>
        <x:v>0</x:v>
      </x:c>
      <x:c r="I347" t="n">
        <x:f>--AND(H347=1,G347=1)</x:f>
        <x:v>0</x:v>
      </x:c>
      <x:c r="J347" t="n">
        <x:f>--AND(F347=1,E347='Calculator'!$B$4)</x:f>
        <x:v>0</x:v>
      </x:c>
      <x:c r="K347" t="n">
        <x:f>--AND(J347=1,G347=1)</x:f>
        <x:v>0</x:v>
      </x:c>
      <x:c r="L347" t="str">
        <x:f>A347&amp;"/"&amp;B347&amp;"/"&amp;C347</x:f>
        <x:v>9/10/11</x:v>
      </x:c>
      <x:c r="M347" t="str">
        <x:f>MIN(15,A347+'Calculator'!$B$6)&amp;"/"&amp;MIN(15,B347+'Calculator'!$B$6)&amp;"/"&amp;MIN(15,C347+'Calculator'!$B$6)</x:f>
        <x:v>11/12/13</x:v>
      </x:c>
    </x:row>
    <x:row r="348">
      <x:c r="A348" t="n">
        <x:v>9</x:v>
      </x:c>
      <x:c r="B348" t="n">
        <x:v>10</x:v>
      </x:c>
      <x:c r="C348" t="n">
        <x:v>12</x:v>
      </x:c>
      <x:c r="D348" t="n">
        <x:f>MAX(10,ROUNDDOWN((('Calculator'!$B$10+A348)*SQRT('Calculator'!$B$11+B348)*SQRT('Calculator'!$B$12+C348)*0.59740001^2)/10,0))</x:f>
        <x:v>2297</x:v>
      </x:c>
      <x:c r="E348" t="n">
        <x:f>MAX(10,ROUNDDOWN((('Calculator'!$B$10+A348)*SQRT('Calculator'!$B$11+B348)*SQRT('Calculator'!$B$12+C348)*0.667934^2)/10,0))</x:f>
        <x:v>2871</x:v>
      </x:c>
      <x:c r="F348" t="n">
        <x:f>--AND(A348&gt;='Calculator'!$B$5,B348&gt;='Calculator'!$B$5,C348&gt;='Calculator'!$B$5)</x:f>
        <x:v>1</x:v>
      </x:c>
      <x:c r="G348" t="n">
        <x:f>--AND(A348+'Calculator'!$B$6&gt;=15,B348+'Calculator'!$B$6&gt;=15,C348+'Calculator'!$B$6&gt;=15)</x:f>
        <x:v>0</x:v>
      </x:c>
      <x:c r="H348" t="n">
        <x:f>--AND(F348=1,D348='Calculator'!$B$4)</x:f>
        <x:v>0</x:v>
      </x:c>
      <x:c r="I348" t="n">
        <x:f>--AND(H348=1,G348=1)</x:f>
        <x:v>0</x:v>
      </x:c>
      <x:c r="J348" t="n">
        <x:f>--AND(F348=1,E348='Calculator'!$B$4)</x:f>
        <x:v>0</x:v>
      </x:c>
      <x:c r="K348" t="n">
        <x:f>--AND(J348=1,G348=1)</x:f>
        <x:v>0</x:v>
      </x:c>
      <x:c r="L348" t="str">
        <x:f>A348&amp;"/"&amp;B348&amp;"/"&amp;C348</x:f>
        <x:v>9/10/12</x:v>
      </x:c>
      <x:c r="M348" t="str">
        <x:f>MIN(15,A348+'Calculator'!$B$6)&amp;"/"&amp;MIN(15,B348+'Calculator'!$B$6)&amp;"/"&amp;MIN(15,C348+'Calculator'!$B$6)</x:f>
        <x:v>11/12/14</x:v>
      </x:c>
    </x:row>
    <x:row r="349">
      <x:c r="A349" t="n">
        <x:v>9</x:v>
      </x:c>
      <x:c r="B349" t="n">
        <x:v>10</x:v>
      </x:c>
      <x:c r="C349" t="n">
        <x:v>13</x:v>
      </x:c>
      <x:c r="D349" t="n">
        <x:f>MAX(10,ROUNDDOWN((('Calculator'!$B$10+A349)*SQRT('Calculator'!$B$11+B349)*SQRT('Calculator'!$B$12+C349)*0.59740001^2)/10,0))</x:f>
        <x:v>2302</x:v>
      </x:c>
      <x:c r="E349" t="n">
        <x:f>MAX(10,ROUNDDOWN((('Calculator'!$B$10+A349)*SQRT('Calculator'!$B$11+B349)*SQRT('Calculator'!$B$12+C349)*0.667934^2)/10,0))</x:f>
        <x:v>2877</x:v>
      </x:c>
      <x:c r="F349" t="n">
        <x:f>--AND(A349&gt;='Calculator'!$B$5,B349&gt;='Calculator'!$B$5,C349&gt;='Calculator'!$B$5)</x:f>
        <x:v>1</x:v>
      </x:c>
      <x:c r="G349" t="n">
        <x:f>--AND(A349+'Calculator'!$B$6&gt;=15,B349+'Calculator'!$B$6&gt;=15,C349+'Calculator'!$B$6&gt;=15)</x:f>
        <x:v>0</x:v>
      </x:c>
      <x:c r="H349" t="n">
        <x:f>--AND(F349=1,D349='Calculator'!$B$4)</x:f>
        <x:v>0</x:v>
      </x:c>
      <x:c r="I349" t="n">
        <x:f>--AND(H349=1,G349=1)</x:f>
        <x:v>0</x:v>
      </x:c>
      <x:c r="J349" t="n">
        <x:f>--AND(F349=1,E349='Calculator'!$B$4)</x:f>
        <x:v>0</x:v>
      </x:c>
      <x:c r="K349" t="n">
        <x:f>--AND(J349=1,G349=1)</x:f>
        <x:v>0</x:v>
      </x:c>
      <x:c r="L349" t="str">
        <x:f>A349&amp;"/"&amp;B349&amp;"/"&amp;C349</x:f>
        <x:v>9/10/13</x:v>
      </x:c>
      <x:c r="M349" t="str">
        <x:f>MIN(15,A349+'Calculator'!$B$6)&amp;"/"&amp;MIN(15,B349+'Calculator'!$B$6)&amp;"/"&amp;MIN(15,C349+'Calculator'!$B$6)</x:f>
        <x:v>11/12/15</x:v>
      </x:c>
    </x:row>
    <x:row r="350">
      <x:c r="A350" t="n">
        <x:v>9</x:v>
      </x:c>
      <x:c r="B350" t="n">
        <x:v>10</x:v>
      </x:c>
      <x:c r="C350" t="n">
        <x:v>14</x:v>
      </x:c>
      <x:c r="D350" t="n">
        <x:f>MAX(10,ROUNDDOWN((('Calculator'!$B$10+A350)*SQRT('Calculator'!$B$11+B350)*SQRT('Calculator'!$B$12+C350)*0.59740001^2)/10,0))</x:f>
        <x:v>2307</x:v>
      </x:c>
      <x:c r="E350" t="n">
        <x:f>MAX(10,ROUNDDOWN((('Calculator'!$B$10+A350)*SQRT('Calculator'!$B$11+B350)*SQRT('Calculator'!$B$12+C350)*0.667934^2)/10,0))</x:f>
        <x:v>2884</x:v>
      </x:c>
      <x:c r="F350" t="n">
        <x:f>--AND(A350&gt;='Calculator'!$B$5,B350&gt;='Calculator'!$B$5,C350&gt;='Calculator'!$B$5)</x:f>
        <x:v>1</x:v>
      </x:c>
      <x:c r="G350" t="n">
        <x:f>--AND(A350+'Calculator'!$B$6&gt;=15,B350+'Calculator'!$B$6&gt;=15,C350+'Calculator'!$B$6&gt;=15)</x:f>
        <x:v>0</x:v>
      </x:c>
      <x:c r="H350" t="n">
        <x:f>--AND(F350=1,D350='Calculator'!$B$4)</x:f>
        <x:v>0</x:v>
      </x:c>
      <x:c r="I350" t="n">
        <x:f>--AND(H350=1,G350=1)</x:f>
        <x:v>0</x:v>
      </x:c>
      <x:c r="J350" t="n">
        <x:f>--AND(F350=1,E350='Calculator'!$B$4)</x:f>
        <x:v>0</x:v>
      </x:c>
      <x:c r="K350" t="n">
        <x:f>--AND(J350=1,G350=1)</x:f>
        <x:v>0</x:v>
      </x:c>
      <x:c r="L350" t="str">
        <x:f>A350&amp;"/"&amp;B350&amp;"/"&amp;C350</x:f>
        <x:v>9/10/14</x:v>
      </x:c>
      <x:c r="M350" t="str">
        <x:f>MIN(15,A350+'Calculator'!$B$6)&amp;"/"&amp;MIN(15,B350+'Calculator'!$B$6)&amp;"/"&amp;MIN(15,C350+'Calculator'!$B$6)</x:f>
        <x:v>11/12/15</x:v>
      </x:c>
    </x:row>
    <x:row r="351">
      <x:c r="A351" t="n">
        <x:v>9</x:v>
      </x:c>
      <x:c r="B351" t="n">
        <x:v>10</x:v>
      </x:c>
      <x:c r="C351" t="n">
        <x:v>15</x:v>
      </x:c>
      <x:c r="D351" t="n">
        <x:f>MAX(10,ROUNDDOWN((('Calculator'!$B$10+A351)*SQRT('Calculator'!$B$11+B351)*SQRT('Calculator'!$B$12+C351)*0.59740001^2)/10,0))</x:f>
        <x:v>2312</x:v>
      </x:c>
      <x:c r="E351" t="n">
        <x:f>MAX(10,ROUNDDOWN((('Calculator'!$B$10+A351)*SQRT('Calculator'!$B$11+B351)*SQRT('Calculator'!$B$12+C351)*0.667934^2)/10,0))</x:f>
        <x:v>2890</x:v>
      </x:c>
      <x:c r="F351" t="n">
        <x:f>--AND(A351&gt;='Calculator'!$B$5,B351&gt;='Calculator'!$B$5,C351&gt;='Calculator'!$B$5)</x:f>
        <x:v>1</x:v>
      </x:c>
      <x:c r="G351" t="n">
        <x:f>--AND(A351+'Calculator'!$B$6&gt;=15,B351+'Calculator'!$B$6&gt;=15,C351+'Calculator'!$B$6&gt;=15)</x:f>
        <x:v>0</x:v>
      </x:c>
      <x:c r="H351" t="n">
        <x:f>--AND(F351=1,D351='Calculator'!$B$4)</x:f>
        <x:v>0</x:v>
      </x:c>
      <x:c r="I351" t="n">
        <x:f>--AND(H351=1,G351=1)</x:f>
        <x:v>0</x:v>
      </x:c>
      <x:c r="J351" t="n">
        <x:f>--AND(F351=1,E351='Calculator'!$B$4)</x:f>
        <x:v>0</x:v>
      </x:c>
      <x:c r="K351" t="n">
        <x:f>--AND(J351=1,G351=1)</x:f>
        <x:v>0</x:v>
      </x:c>
      <x:c r="L351" t="str">
        <x:f>A351&amp;"/"&amp;B351&amp;"/"&amp;C351</x:f>
        <x:v>9/10/15</x:v>
      </x:c>
      <x:c r="M351" t="str">
        <x:f>MIN(15,A351+'Calculator'!$B$6)&amp;"/"&amp;MIN(15,B351+'Calculator'!$B$6)&amp;"/"&amp;MIN(15,C351+'Calculator'!$B$6)</x:f>
        <x:v>11/12/15</x:v>
      </x:c>
    </x:row>
    <x:row r="352">
      <x:c r="A352" t="n">
        <x:v>9</x:v>
      </x:c>
      <x:c r="B352" t="n">
        <x:v>11</x:v>
      </x:c>
      <x:c r="C352" t="n">
        <x:v>6</x:v>
      </x:c>
      <x:c r="D352" t="n">
        <x:f>MAX(10,ROUNDDOWN((('Calculator'!$B$10+A352)*SQRT('Calculator'!$B$11+B352)*SQRT('Calculator'!$B$12+C352)*0.59740001^2)/10,0))</x:f>
        <x:v>2272</x:v>
      </x:c>
      <x:c r="E352" t="n">
        <x:f>MAX(10,ROUNDDOWN((('Calculator'!$B$10+A352)*SQRT('Calculator'!$B$11+B352)*SQRT('Calculator'!$B$12+C352)*0.667934^2)/10,0))</x:f>
        <x:v>2840</x:v>
      </x:c>
      <x:c r="F352" t="n">
        <x:f>--AND(A352&gt;='Calculator'!$B$5,B352&gt;='Calculator'!$B$5,C352&gt;='Calculator'!$B$5)</x:f>
        <x:v>1</x:v>
      </x:c>
      <x:c r="G352" t="n">
        <x:f>--AND(A352+'Calculator'!$B$6&gt;=15,B352+'Calculator'!$B$6&gt;=15,C352+'Calculator'!$B$6&gt;=15)</x:f>
        <x:v>0</x:v>
      </x:c>
      <x:c r="H352" t="n">
        <x:f>--AND(F352=1,D352='Calculator'!$B$4)</x:f>
        <x:v>0</x:v>
      </x:c>
      <x:c r="I352" t="n">
        <x:f>--AND(H352=1,G352=1)</x:f>
        <x:v>0</x:v>
      </x:c>
      <x:c r="J352" t="n">
        <x:f>--AND(F352=1,E352='Calculator'!$B$4)</x:f>
        <x:v>0</x:v>
      </x:c>
      <x:c r="K352" t="n">
        <x:f>--AND(J352=1,G352=1)</x:f>
        <x:v>0</x:v>
      </x:c>
      <x:c r="L352" t="str">
        <x:f>A352&amp;"/"&amp;B352&amp;"/"&amp;C352</x:f>
        <x:v>9/11/6</x:v>
      </x:c>
      <x:c r="M352" t="str">
        <x:f>MIN(15,A352+'Calculator'!$B$6)&amp;"/"&amp;MIN(15,B352+'Calculator'!$B$6)&amp;"/"&amp;MIN(15,C352+'Calculator'!$B$6)</x:f>
        <x:v>11/13/8</x:v>
      </x:c>
    </x:row>
    <x:row r="353">
      <x:c r="A353" t="n">
        <x:v>9</x:v>
      </x:c>
      <x:c r="B353" t="n">
        <x:v>11</x:v>
      </x:c>
      <x:c r="C353" t="n">
        <x:v>7</x:v>
      </x:c>
      <x:c r="D353" t="n">
        <x:f>MAX(10,ROUNDDOWN((('Calculator'!$B$10+A353)*SQRT('Calculator'!$B$11+B353)*SQRT('Calculator'!$B$12+C353)*0.59740001^2)/10,0))</x:f>
        <x:v>2277</x:v>
      </x:c>
      <x:c r="E353" t="n">
        <x:f>MAX(10,ROUNDDOWN((('Calculator'!$B$10+A353)*SQRT('Calculator'!$B$11+B353)*SQRT('Calculator'!$B$12+C353)*0.667934^2)/10,0))</x:f>
        <x:v>2847</x:v>
      </x:c>
      <x:c r="F353" t="n">
        <x:f>--AND(A353&gt;='Calculator'!$B$5,B353&gt;='Calculator'!$B$5,C353&gt;='Calculator'!$B$5)</x:f>
        <x:v>1</x:v>
      </x:c>
      <x:c r="G353" t="n">
        <x:f>--AND(A353+'Calculator'!$B$6&gt;=15,B353+'Calculator'!$B$6&gt;=15,C353+'Calculator'!$B$6&gt;=15)</x:f>
        <x:v>0</x:v>
      </x:c>
      <x:c r="H353" t="n">
        <x:f>--AND(F353=1,D353='Calculator'!$B$4)</x:f>
        <x:v>0</x:v>
      </x:c>
      <x:c r="I353" t="n">
        <x:f>--AND(H353=1,G353=1)</x:f>
        <x:v>0</x:v>
      </x:c>
      <x:c r="J353" t="n">
        <x:f>--AND(F353=1,E353='Calculator'!$B$4)</x:f>
        <x:v>0</x:v>
      </x:c>
      <x:c r="K353" t="n">
        <x:f>--AND(J353=1,G353=1)</x:f>
        <x:v>0</x:v>
      </x:c>
      <x:c r="L353" t="str">
        <x:f>A353&amp;"/"&amp;B353&amp;"/"&amp;C353</x:f>
        <x:v>9/11/7</x:v>
      </x:c>
      <x:c r="M353" t="str">
        <x:f>MIN(15,A353+'Calculator'!$B$6)&amp;"/"&amp;MIN(15,B353+'Calculator'!$B$6)&amp;"/"&amp;MIN(15,C353+'Calculator'!$B$6)</x:f>
        <x:v>11/13/9</x:v>
      </x:c>
    </x:row>
    <x:row r="354">
      <x:c r="A354" t="n">
        <x:v>9</x:v>
      </x:c>
      <x:c r="B354" t="n">
        <x:v>11</x:v>
      </x:c>
      <x:c r="C354" t="n">
        <x:v>8</x:v>
      </x:c>
      <x:c r="D354" t="n">
        <x:f>MAX(10,ROUNDDOWN((('Calculator'!$B$10+A354)*SQRT('Calculator'!$B$11+B354)*SQRT('Calculator'!$B$12+C354)*0.59740001^2)/10,0))</x:f>
        <x:v>2282</x:v>
      </x:c>
      <x:c r="E354" t="n">
        <x:f>MAX(10,ROUNDDOWN((('Calculator'!$B$10+A354)*SQRT('Calculator'!$B$11+B354)*SQRT('Calculator'!$B$12+C354)*0.667934^2)/10,0))</x:f>
        <x:v>2853</x:v>
      </x:c>
      <x:c r="F354" t="n">
        <x:f>--AND(A354&gt;='Calculator'!$B$5,B354&gt;='Calculator'!$B$5,C354&gt;='Calculator'!$B$5)</x:f>
        <x:v>1</x:v>
      </x:c>
      <x:c r="G354" t="n">
        <x:f>--AND(A354+'Calculator'!$B$6&gt;=15,B354+'Calculator'!$B$6&gt;=15,C354+'Calculator'!$B$6&gt;=15)</x:f>
        <x:v>0</x:v>
      </x:c>
      <x:c r="H354" t="n">
        <x:f>--AND(F354=1,D354='Calculator'!$B$4)</x:f>
        <x:v>0</x:v>
      </x:c>
      <x:c r="I354" t="n">
        <x:f>--AND(H354=1,G354=1)</x:f>
        <x:v>0</x:v>
      </x:c>
      <x:c r="J354" t="n">
        <x:f>--AND(F354=1,E354='Calculator'!$B$4)</x:f>
        <x:v>0</x:v>
      </x:c>
      <x:c r="K354" t="n">
        <x:f>--AND(J354=1,G354=1)</x:f>
        <x:v>0</x:v>
      </x:c>
      <x:c r="L354" t="str">
        <x:f>A354&amp;"/"&amp;B354&amp;"/"&amp;C354</x:f>
        <x:v>9/11/8</x:v>
      </x:c>
      <x:c r="M354" t="str">
        <x:f>MIN(15,A354+'Calculator'!$B$6)&amp;"/"&amp;MIN(15,B354+'Calculator'!$B$6)&amp;"/"&amp;MIN(15,C354+'Calculator'!$B$6)</x:f>
        <x:v>11/13/10</x:v>
      </x:c>
    </x:row>
    <x:row r="355">
      <x:c r="A355" t="n">
        <x:v>9</x:v>
      </x:c>
      <x:c r="B355" t="n">
        <x:v>11</x:v>
      </x:c>
      <x:c r="C355" t="n">
        <x:v>9</x:v>
      </x:c>
      <x:c r="D355" t="n">
        <x:f>MAX(10,ROUNDDOWN((('Calculator'!$B$10+A355)*SQRT('Calculator'!$B$11+B355)*SQRT('Calculator'!$B$12+C355)*0.59740001^2)/10,0))</x:f>
        <x:v>2287</x:v>
      </x:c>
      <x:c r="E355" t="n">
        <x:f>MAX(10,ROUNDDOWN((('Calculator'!$B$10+A355)*SQRT('Calculator'!$B$11+B355)*SQRT('Calculator'!$B$12+C355)*0.667934^2)/10,0))</x:f>
        <x:v>2859</x:v>
      </x:c>
      <x:c r="F355" t="n">
        <x:f>--AND(A355&gt;='Calculator'!$B$5,B355&gt;='Calculator'!$B$5,C355&gt;='Calculator'!$B$5)</x:f>
        <x:v>1</x:v>
      </x:c>
      <x:c r="G355" t="n">
        <x:f>--AND(A355+'Calculator'!$B$6&gt;=15,B355+'Calculator'!$B$6&gt;=15,C355+'Calculator'!$B$6&gt;=15)</x:f>
        <x:v>0</x:v>
      </x:c>
      <x:c r="H355" t="n">
        <x:f>--AND(F355=1,D355='Calculator'!$B$4)</x:f>
        <x:v>0</x:v>
      </x:c>
      <x:c r="I355" t="n">
        <x:f>--AND(H355=1,G355=1)</x:f>
        <x:v>0</x:v>
      </x:c>
      <x:c r="J355" t="n">
        <x:f>--AND(F355=1,E355='Calculator'!$B$4)</x:f>
        <x:v>0</x:v>
      </x:c>
      <x:c r="K355" t="n">
        <x:f>--AND(J355=1,G355=1)</x:f>
        <x:v>0</x:v>
      </x:c>
      <x:c r="L355" t="str">
        <x:f>A355&amp;"/"&amp;B355&amp;"/"&amp;C355</x:f>
        <x:v>9/11/9</x:v>
      </x:c>
      <x:c r="M355" t="str">
        <x:f>MIN(15,A355+'Calculator'!$B$6)&amp;"/"&amp;MIN(15,B355+'Calculator'!$B$6)&amp;"/"&amp;MIN(15,C355+'Calculator'!$B$6)</x:f>
        <x:v>11/13/11</x:v>
      </x:c>
    </x:row>
    <x:row r="356">
      <x:c r="A356" t="n">
        <x:v>9</x:v>
      </x:c>
      <x:c r="B356" t="n">
        <x:v>11</x:v>
      </x:c>
      <x:c r="C356" t="n">
        <x:v>10</x:v>
      </x:c>
      <x:c r="D356" t="n">
        <x:f>MAX(10,ROUNDDOWN((('Calculator'!$B$10+A356)*SQRT('Calculator'!$B$11+B356)*SQRT('Calculator'!$B$12+C356)*0.59740001^2)/10,0))</x:f>
        <x:v>2292</x:v>
      </x:c>
      <x:c r="E356" t="n">
        <x:f>MAX(10,ROUNDDOWN((('Calculator'!$B$10+A356)*SQRT('Calculator'!$B$11+B356)*SQRT('Calculator'!$B$12+C356)*0.667934^2)/10,0))</x:f>
        <x:v>2866</x:v>
      </x:c>
      <x:c r="F356" t="n">
        <x:f>--AND(A356&gt;='Calculator'!$B$5,B356&gt;='Calculator'!$B$5,C356&gt;='Calculator'!$B$5)</x:f>
        <x:v>1</x:v>
      </x:c>
      <x:c r="G356" t="n">
        <x:f>--AND(A356+'Calculator'!$B$6&gt;=15,B356+'Calculator'!$B$6&gt;=15,C356+'Calculator'!$B$6&gt;=15)</x:f>
        <x:v>0</x:v>
      </x:c>
      <x:c r="H356" t="n">
        <x:f>--AND(F356=1,D356='Calculator'!$B$4)</x:f>
        <x:v>0</x:v>
      </x:c>
      <x:c r="I356" t="n">
        <x:f>--AND(H356=1,G356=1)</x:f>
        <x:v>0</x:v>
      </x:c>
      <x:c r="J356" t="n">
        <x:f>--AND(F356=1,E356='Calculator'!$B$4)</x:f>
        <x:v>0</x:v>
      </x:c>
      <x:c r="K356" t="n">
        <x:f>--AND(J356=1,G356=1)</x:f>
        <x:v>0</x:v>
      </x:c>
      <x:c r="L356" t="str">
        <x:f>A356&amp;"/"&amp;B356&amp;"/"&amp;C356</x:f>
        <x:v>9/11/10</x:v>
      </x:c>
      <x:c r="M356" t="str">
        <x:f>MIN(15,A356+'Calculator'!$B$6)&amp;"/"&amp;MIN(15,B356+'Calculator'!$B$6)&amp;"/"&amp;MIN(15,C356+'Calculator'!$B$6)</x:f>
        <x:v>11/13/12</x:v>
      </x:c>
    </x:row>
    <x:row r="357">
      <x:c r="A357" t="n">
        <x:v>9</x:v>
      </x:c>
      <x:c r="B357" t="n">
        <x:v>11</x:v>
      </x:c>
      <x:c r="C357" t="n">
        <x:v>11</x:v>
      </x:c>
      <x:c r="D357" t="n">
        <x:f>MAX(10,ROUNDDOWN((('Calculator'!$B$10+A357)*SQRT('Calculator'!$B$11+B357)*SQRT('Calculator'!$B$12+C357)*0.59740001^2)/10,0))</x:f>
        <x:v>2298</x:v>
      </x:c>
      <x:c r="E357" t="n">
        <x:f>MAX(10,ROUNDDOWN((('Calculator'!$B$10+A357)*SQRT('Calculator'!$B$11+B357)*SQRT('Calculator'!$B$12+C357)*0.667934^2)/10,0))</x:f>
        <x:v>2872</x:v>
      </x:c>
      <x:c r="F357" t="n">
        <x:f>--AND(A357&gt;='Calculator'!$B$5,B357&gt;='Calculator'!$B$5,C357&gt;='Calculator'!$B$5)</x:f>
        <x:v>1</x:v>
      </x:c>
      <x:c r="G357" t="n">
        <x:f>--AND(A357+'Calculator'!$B$6&gt;=15,B357+'Calculator'!$B$6&gt;=15,C357+'Calculator'!$B$6&gt;=15)</x:f>
        <x:v>0</x:v>
      </x:c>
      <x:c r="H357" t="n">
        <x:f>--AND(F357=1,D357='Calculator'!$B$4)</x:f>
        <x:v>0</x:v>
      </x:c>
      <x:c r="I357" t="n">
        <x:f>--AND(H357=1,G357=1)</x:f>
        <x:v>0</x:v>
      </x:c>
      <x:c r="J357" t="n">
        <x:f>--AND(F357=1,E357='Calculator'!$B$4)</x:f>
        <x:v>0</x:v>
      </x:c>
      <x:c r="K357" t="n">
        <x:f>--AND(J357=1,G357=1)</x:f>
        <x:v>0</x:v>
      </x:c>
      <x:c r="L357" t="str">
        <x:f>A357&amp;"/"&amp;B357&amp;"/"&amp;C357</x:f>
        <x:v>9/11/11</x:v>
      </x:c>
      <x:c r="M357" t="str">
        <x:f>MIN(15,A357+'Calculator'!$B$6)&amp;"/"&amp;MIN(15,B357+'Calculator'!$B$6)&amp;"/"&amp;MIN(15,C357+'Calculator'!$B$6)</x:f>
        <x:v>11/13/13</x:v>
      </x:c>
    </x:row>
    <x:row r="358">
      <x:c r="A358" t="n">
        <x:v>9</x:v>
      </x:c>
      <x:c r="B358" t="n">
        <x:v>11</x:v>
      </x:c>
      <x:c r="C358" t="n">
        <x:v>12</x:v>
      </x:c>
      <x:c r="D358" t="n">
        <x:f>MAX(10,ROUNDDOWN((('Calculator'!$B$10+A358)*SQRT('Calculator'!$B$11+B358)*SQRT('Calculator'!$B$12+C358)*0.59740001^2)/10,0))</x:f>
        <x:v>2303</x:v>
      </x:c>
      <x:c r="E358" t="n">
        <x:f>MAX(10,ROUNDDOWN((('Calculator'!$B$10+A358)*SQRT('Calculator'!$B$11+B358)*SQRT('Calculator'!$B$12+C358)*0.667934^2)/10,0))</x:f>
        <x:v>2879</x:v>
      </x:c>
      <x:c r="F358" t="n">
        <x:f>--AND(A358&gt;='Calculator'!$B$5,B358&gt;='Calculator'!$B$5,C358&gt;='Calculator'!$B$5)</x:f>
        <x:v>1</x:v>
      </x:c>
      <x:c r="G358" t="n">
        <x:f>--AND(A358+'Calculator'!$B$6&gt;=15,B358+'Calculator'!$B$6&gt;=15,C358+'Calculator'!$B$6&gt;=15)</x:f>
        <x:v>0</x:v>
      </x:c>
      <x:c r="H358" t="n">
        <x:f>--AND(F358=1,D358='Calculator'!$B$4)</x:f>
        <x:v>0</x:v>
      </x:c>
      <x:c r="I358" t="n">
        <x:f>--AND(H358=1,G358=1)</x:f>
        <x:v>0</x:v>
      </x:c>
      <x:c r="J358" t="n">
        <x:f>--AND(F358=1,E358='Calculator'!$B$4)</x:f>
        <x:v>0</x:v>
      </x:c>
      <x:c r="K358" t="n">
        <x:f>--AND(J358=1,G358=1)</x:f>
        <x:v>0</x:v>
      </x:c>
      <x:c r="L358" t="str">
        <x:f>A358&amp;"/"&amp;B358&amp;"/"&amp;C358</x:f>
        <x:v>9/11/12</x:v>
      </x:c>
      <x:c r="M358" t="str">
        <x:f>MIN(15,A358+'Calculator'!$B$6)&amp;"/"&amp;MIN(15,B358+'Calculator'!$B$6)&amp;"/"&amp;MIN(15,C358+'Calculator'!$B$6)</x:f>
        <x:v>11/13/14</x:v>
      </x:c>
    </x:row>
    <x:row r="359">
      <x:c r="A359" t="n">
        <x:v>9</x:v>
      </x:c>
      <x:c r="B359" t="n">
        <x:v>11</x:v>
      </x:c>
      <x:c r="C359" t="n">
        <x:v>13</x:v>
      </x:c>
      <x:c r="D359" t="n">
        <x:f>MAX(10,ROUNDDOWN((('Calculator'!$B$10+A359)*SQRT('Calculator'!$B$11+B359)*SQRT('Calculator'!$B$12+C359)*0.59740001^2)/10,0))</x:f>
        <x:v>2308</x:v>
      </x:c>
      <x:c r="E359" t="n">
        <x:f>MAX(10,ROUNDDOWN((('Calculator'!$B$10+A359)*SQRT('Calculator'!$B$11+B359)*SQRT('Calculator'!$B$12+C359)*0.667934^2)/10,0))</x:f>
        <x:v>2885</x:v>
      </x:c>
      <x:c r="F359" t="n">
        <x:f>--AND(A359&gt;='Calculator'!$B$5,B359&gt;='Calculator'!$B$5,C359&gt;='Calculator'!$B$5)</x:f>
        <x:v>1</x:v>
      </x:c>
      <x:c r="G359" t="n">
        <x:f>--AND(A359+'Calculator'!$B$6&gt;=15,B359+'Calculator'!$B$6&gt;=15,C359+'Calculator'!$B$6&gt;=15)</x:f>
        <x:v>0</x:v>
      </x:c>
      <x:c r="H359" t="n">
        <x:f>--AND(F359=1,D359='Calculator'!$B$4)</x:f>
        <x:v>0</x:v>
      </x:c>
      <x:c r="I359" t="n">
        <x:f>--AND(H359=1,G359=1)</x:f>
        <x:v>0</x:v>
      </x:c>
      <x:c r="J359" t="n">
        <x:f>--AND(F359=1,E359='Calculator'!$B$4)</x:f>
        <x:v>0</x:v>
      </x:c>
      <x:c r="K359" t="n">
        <x:f>--AND(J359=1,G359=1)</x:f>
        <x:v>0</x:v>
      </x:c>
      <x:c r="L359" t="str">
        <x:f>A359&amp;"/"&amp;B359&amp;"/"&amp;C359</x:f>
        <x:v>9/11/13</x:v>
      </x:c>
      <x:c r="M359" t="str">
        <x:f>MIN(15,A359+'Calculator'!$B$6)&amp;"/"&amp;MIN(15,B359+'Calculator'!$B$6)&amp;"/"&amp;MIN(15,C359+'Calculator'!$B$6)</x:f>
        <x:v>11/13/15</x:v>
      </x:c>
    </x:row>
    <x:row r="360">
      <x:c r="A360" t="n">
        <x:v>9</x:v>
      </x:c>
      <x:c r="B360" t="n">
        <x:v>11</x:v>
      </x:c>
      <x:c r="C360" t="n">
        <x:v>14</x:v>
      </x:c>
      <x:c r="D360" t="n">
        <x:f>MAX(10,ROUNDDOWN((('Calculator'!$B$10+A360)*SQRT('Calculator'!$B$11+B360)*SQRT('Calculator'!$B$12+C360)*0.59740001^2)/10,0))</x:f>
        <x:v>2313</x:v>
      </x:c>
      <x:c r="E360" t="n">
        <x:f>MAX(10,ROUNDDOWN((('Calculator'!$B$10+A360)*SQRT('Calculator'!$B$11+B360)*SQRT('Calculator'!$B$12+C360)*0.667934^2)/10,0))</x:f>
        <x:v>2891</x:v>
      </x:c>
      <x:c r="F360" t="n">
        <x:f>--AND(A360&gt;='Calculator'!$B$5,B360&gt;='Calculator'!$B$5,C360&gt;='Calculator'!$B$5)</x:f>
        <x:v>1</x:v>
      </x:c>
      <x:c r="G360" t="n">
        <x:f>--AND(A360+'Calculator'!$B$6&gt;=15,B360+'Calculator'!$B$6&gt;=15,C360+'Calculator'!$B$6&gt;=15)</x:f>
        <x:v>0</x:v>
      </x:c>
      <x:c r="H360" t="n">
        <x:f>--AND(F360=1,D360='Calculator'!$B$4)</x:f>
        <x:v>0</x:v>
      </x:c>
      <x:c r="I360" t="n">
        <x:f>--AND(H360=1,G360=1)</x:f>
        <x:v>0</x:v>
      </x:c>
      <x:c r="J360" t="n">
        <x:f>--AND(F360=1,E360='Calculator'!$B$4)</x:f>
        <x:v>0</x:v>
      </x:c>
      <x:c r="K360" t="n">
        <x:f>--AND(J360=1,G360=1)</x:f>
        <x:v>0</x:v>
      </x:c>
      <x:c r="L360" t="str">
        <x:f>A360&amp;"/"&amp;B360&amp;"/"&amp;C360</x:f>
        <x:v>9/11/14</x:v>
      </x:c>
      <x:c r="M360" t="str">
        <x:f>MIN(15,A360+'Calculator'!$B$6)&amp;"/"&amp;MIN(15,B360+'Calculator'!$B$6)&amp;"/"&amp;MIN(15,C360+'Calculator'!$B$6)</x:f>
        <x:v>11/13/15</x:v>
      </x:c>
    </x:row>
    <x:row r="361">
      <x:c r="A361" t="n">
        <x:v>9</x:v>
      </x:c>
      <x:c r="B361" t="n">
        <x:v>11</x:v>
      </x:c>
      <x:c r="C361" t="n">
        <x:v>15</x:v>
      </x:c>
      <x:c r="D361" t="n">
        <x:f>MAX(10,ROUNDDOWN((('Calculator'!$B$10+A361)*SQRT('Calculator'!$B$11+B361)*SQRT('Calculator'!$B$12+C361)*0.59740001^2)/10,0))</x:f>
        <x:v>2318</x:v>
      </x:c>
      <x:c r="E361" t="n">
        <x:f>MAX(10,ROUNDDOWN((('Calculator'!$B$10+A361)*SQRT('Calculator'!$B$11+B361)*SQRT('Calculator'!$B$12+C361)*0.667934^2)/10,0))</x:f>
        <x:v>2898</x:v>
      </x:c>
      <x:c r="F361" t="n">
        <x:f>--AND(A361&gt;='Calculator'!$B$5,B361&gt;='Calculator'!$B$5,C361&gt;='Calculator'!$B$5)</x:f>
        <x:v>1</x:v>
      </x:c>
      <x:c r="G361" t="n">
        <x:f>--AND(A361+'Calculator'!$B$6&gt;=15,B361+'Calculator'!$B$6&gt;=15,C361+'Calculator'!$B$6&gt;=15)</x:f>
        <x:v>0</x:v>
      </x:c>
      <x:c r="H361" t="n">
        <x:f>--AND(F361=1,D361='Calculator'!$B$4)</x:f>
        <x:v>0</x:v>
      </x:c>
      <x:c r="I361" t="n">
        <x:f>--AND(H361=1,G361=1)</x:f>
        <x:v>0</x:v>
      </x:c>
      <x:c r="J361" t="n">
        <x:f>--AND(F361=1,E361='Calculator'!$B$4)</x:f>
        <x:v>0</x:v>
      </x:c>
      <x:c r="K361" t="n">
        <x:f>--AND(J361=1,G361=1)</x:f>
        <x:v>0</x:v>
      </x:c>
      <x:c r="L361" t="str">
        <x:f>A361&amp;"/"&amp;B361&amp;"/"&amp;C361</x:f>
        <x:v>9/11/15</x:v>
      </x:c>
      <x:c r="M361" t="str">
        <x:f>MIN(15,A361+'Calculator'!$B$6)&amp;"/"&amp;MIN(15,B361+'Calculator'!$B$6)&amp;"/"&amp;MIN(15,C361+'Calculator'!$B$6)</x:f>
        <x:v>11/13/15</x:v>
      </x:c>
    </x:row>
    <x:row r="362">
      <x:c r="A362" t="n">
        <x:v>9</x:v>
      </x:c>
      <x:c r="B362" t="n">
        <x:v>12</x:v>
      </x:c>
      <x:c r="C362" t="n">
        <x:v>6</x:v>
      </x:c>
      <x:c r="D362" t="n">
        <x:f>MAX(10,ROUNDDOWN((('Calculator'!$B$10+A362)*SQRT('Calculator'!$B$11+B362)*SQRT('Calculator'!$B$12+C362)*0.59740001^2)/10,0))</x:f>
        <x:v>2278</x:v>
      </x:c>
      <x:c r="E362" t="n">
        <x:f>MAX(10,ROUNDDOWN((('Calculator'!$B$10+A362)*SQRT('Calculator'!$B$11+B362)*SQRT('Calculator'!$B$12+C362)*0.667934^2)/10,0))</x:f>
        <x:v>2847</x:v>
      </x:c>
      <x:c r="F362" t="n">
        <x:f>--AND(A362&gt;='Calculator'!$B$5,B362&gt;='Calculator'!$B$5,C362&gt;='Calculator'!$B$5)</x:f>
        <x:v>1</x:v>
      </x:c>
      <x:c r="G362" t="n">
        <x:f>--AND(A362+'Calculator'!$B$6&gt;=15,B362+'Calculator'!$B$6&gt;=15,C362+'Calculator'!$B$6&gt;=15)</x:f>
        <x:v>0</x:v>
      </x:c>
      <x:c r="H362" t="n">
        <x:f>--AND(F362=1,D362='Calculator'!$B$4)</x:f>
        <x:v>0</x:v>
      </x:c>
      <x:c r="I362" t="n">
        <x:f>--AND(H362=1,G362=1)</x:f>
        <x:v>0</x:v>
      </x:c>
      <x:c r="J362" t="n">
        <x:f>--AND(F362=1,E362='Calculator'!$B$4)</x:f>
        <x:v>0</x:v>
      </x:c>
      <x:c r="K362" t="n">
        <x:f>--AND(J362=1,G362=1)</x:f>
        <x:v>0</x:v>
      </x:c>
      <x:c r="L362" t="str">
        <x:f>A362&amp;"/"&amp;B362&amp;"/"&amp;C362</x:f>
        <x:v>9/12/6</x:v>
      </x:c>
      <x:c r="M362" t="str">
        <x:f>MIN(15,A362+'Calculator'!$B$6)&amp;"/"&amp;MIN(15,B362+'Calculator'!$B$6)&amp;"/"&amp;MIN(15,C362+'Calculator'!$B$6)</x:f>
        <x:v>11/14/8</x:v>
      </x:c>
    </x:row>
    <x:row r="363">
      <x:c r="A363" t="n">
        <x:v>9</x:v>
      </x:c>
      <x:c r="B363" t="n">
        <x:v>12</x:v>
      </x:c>
      <x:c r="C363" t="n">
        <x:v>7</x:v>
      </x:c>
      <x:c r="D363" t="n">
        <x:f>MAX(10,ROUNDDOWN((('Calculator'!$B$10+A363)*SQRT('Calculator'!$B$11+B363)*SQRT('Calculator'!$B$12+C363)*0.59740001^2)/10,0))</x:f>
        <x:v>2283</x:v>
      </x:c>
      <x:c r="E363" t="n">
        <x:f>MAX(10,ROUNDDOWN((('Calculator'!$B$10+A363)*SQRT('Calculator'!$B$11+B363)*SQRT('Calculator'!$B$12+C363)*0.667934^2)/10,0))</x:f>
        <x:v>2854</x:v>
      </x:c>
      <x:c r="F363" t="n">
        <x:f>--AND(A363&gt;='Calculator'!$B$5,B363&gt;='Calculator'!$B$5,C363&gt;='Calculator'!$B$5)</x:f>
        <x:v>1</x:v>
      </x:c>
      <x:c r="G363" t="n">
        <x:f>--AND(A363+'Calculator'!$B$6&gt;=15,B363+'Calculator'!$B$6&gt;=15,C363+'Calculator'!$B$6&gt;=15)</x:f>
        <x:v>0</x:v>
      </x:c>
      <x:c r="H363" t="n">
        <x:f>--AND(F363=1,D363='Calculator'!$B$4)</x:f>
        <x:v>0</x:v>
      </x:c>
      <x:c r="I363" t="n">
        <x:f>--AND(H363=1,G363=1)</x:f>
        <x:v>0</x:v>
      </x:c>
      <x:c r="J363" t="n">
        <x:f>--AND(F363=1,E363='Calculator'!$B$4)</x:f>
        <x:v>0</x:v>
      </x:c>
      <x:c r="K363" t="n">
        <x:f>--AND(J363=1,G363=1)</x:f>
        <x:v>0</x:v>
      </x:c>
      <x:c r="L363" t="str">
        <x:f>A363&amp;"/"&amp;B363&amp;"/"&amp;C363</x:f>
        <x:v>9/12/7</x:v>
      </x:c>
      <x:c r="M363" t="str">
        <x:f>MIN(15,A363+'Calculator'!$B$6)&amp;"/"&amp;MIN(15,B363+'Calculator'!$B$6)&amp;"/"&amp;MIN(15,C363+'Calculator'!$B$6)</x:f>
        <x:v>11/14/9</x:v>
      </x:c>
    </x:row>
    <x:row r="364">
      <x:c r="A364" t="n">
        <x:v>9</x:v>
      </x:c>
      <x:c r="B364" t="n">
        <x:v>12</x:v>
      </x:c>
      <x:c r="C364" t="n">
        <x:v>8</x:v>
      </x:c>
      <x:c r="D364" t="n">
        <x:f>MAX(10,ROUNDDOWN((('Calculator'!$B$10+A364)*SQRT('Calculator'!$B$11+B364)*SQRT('Calculator'!$B$12+C364)*0.59740001^2)/10,0))</x:f>
        <x:v>2288</x:v>
      </x:c>
      <x:c r="E364" t="n">
        <x:f>MAX(10,ROUNDDOWN((('Calculator'!$B$10+A364)*SQRT('Calculator'!$B$11+B364)*SQRT('Calculator'!$B$12+C364)*0.667934^2)/10,0))</x:f>
        <x:v>2860</x:v>
      </x:c>
      <x:c r="F364" t="n">
        <x:f>--AND(A364&gt;='Calculator'!$B$5,B364&gt;='Calculator'!$B$5,C364&gt;='Calculator'!$B$5)</x:f>
        <x:v>1</x:v>
      </x:c>
      <x:c r="G364" t="n">
        <x:f>--AND(A364+'Calculator'!$B$6&gt;=15,B364+'Calculator'!$B$6&gt;=15,C364+'Calculator'!$B$6&gt;=15)</x:f>
        <x:v>0</x:v>
      </x:c>
      <x:c r="H364" t="n">
        <x:f>--AND(F364=1,D364='Calculator'!$B$4)</x:f>
        <x:v>0</x:v>
      </x:c>
      <x:c r="I364" t="n">
        <x:f>--AND(H364=1,G364=1)</x:f>
        <x:v>0</x:v>
      </x:c>
      <x:c r="J364" t="n">
        <x:f>--AND(F364=1,E364='Calculator'!$B$4)</x:f>
        <x:v>0</x:v>
      </x:c>
      <x:c r="K364" t="n">
        <x:f>--AND(J364=1,G364=1)</x:f>
        <x:v>0</x:v>
      </x:c>
      <x:c r="L364" t="str">
        <x:f>A364&amp;"/"&amp;B364&amp;"/"&amp;C364</x:f>
        <x:v>9/12/8</x:v>
      </x:c>
      <x:c r="M364" t="str">
        <x:f>MIN(15,A364+'Calculator'!$B$6)&amp;"/"&amp;MIN(15,B364+'Calculator'!$B$6)&amp;"/"&amp;MIN(15,C364+'Calculator'!$B$6)</x:f>
        <x:v>11/14/10</x:v>
      </x:c>
    </x:row>
    <x:row r="365">
      <x:c r="A365" t="n">
        <x:v>9</x:v>
      </x:c>
      <x:c r="B365" t="n">
        <x:v>12</x:v>
      </x:c>
      <x:c r="C365" t="n">
        <x:v>9</x:v>
      </x:c>
      <x:c r="D365" t="n">
        <x:f>MAX(10,ROUNDDOWN((('Calculator'!$B$10+A365)*SQRT('Calculator'!$B$11+B365)*SQRT('Calculator'!$B$12+C365)*0.59740001^2)/10,0))</x:f>
        <x:v>2293</x:v>
      </x:c>
      <x:c r="E365" t="n">
        <x:f>MAX(10,ROUNDDOWN((('Calculator'!$B$10+A365)*SQRT('Calculator'!$B$11+B365)*SQRT('Calculator'!$B$12+C365)*0.667934^2)/10,0))</x:f>
        <x:v>2867</x:v>
      </x:c>
      <x:c r="F365" t="n">
        <x:f>--AND(A365&gt;='Calculator'!$B$5,B365&gt;='Calculator'!$B$5,C365&gt;='Calculator'!$B$5)</x:f>
        <x:v>1</x:v>
      </x:c>
      <x:c r="G365" t="n">
        <x:f>--AND(A365+'Calculator'!$B$6&gt;=15,B365+'Calculator'!$B$6&gt;=15,C365+'Calculator'!$B$6&gt;=15)</x:f>
        <x:v>0</x:v>
      </x:c>
      <x:c r="H365" t="n">
        <x:f>--AND(F365=1,D365='Calculator'!$B$4)</x:f>
        <x:v>0</x:v>
      </x:c>
      <x:c r="I365" t="n">
        <x:f>--AND(H365=1,G365=1)</x:f>
        <x:v>0</x:v>
      </x:c>
      <x:c r="J365" t="n">
        <x:f>--AND(F365=1,E365='Calculator'!$B$4)</x:f>
        <x:v>0</x:v>
      </x:c>
      <x:c r="K365" t="n">
        <x:f>--AND(J365=1,G365=1)</x:f>
        <x:v>0</x:v>
      </x:c>
      <x:c r="L365" t="str">
        <x:f>A365&amp;"/"&amp;B365&amp;"/"&amp;C365</x:f>
        <x:v>9/12/9</x:v>
      </x:c>
      <x:c r="M365" t="str">
        <x:f>MIN(15,A365+'Calculator'!$B$6)&amp;"/"&amp;MIN(15,B365+'Calculator'!$B$6)&amp;"/"&amp;MIN(15,C365+'Calculator'!$B$6)</x:f>
        <x:v>11/14/11</x:v>
      </x:c>
    </x:row>
    <x:row r="366">
      <x:c r="A366" t="n">
        <x:v>9</x:v>
      </x:c>
      <x:c r="B366" t="n">
        <x:v>12</x:v>
      </x:c>
      <x:c r="C366" t="n">
        <x:v>10</x:v>
      </x:c>
      <x:c r="D366" t="n">
        <x:f>MAX(10,ROUNDDOWN((('Calculator'!$B$10+A366)*SQRT('Calculator'!$B$11+B366)*SQRT('Calculator'!$B$12+C366)*0.59740001^2)/10,0))</x:f>
        <x:v>2298</x:v>
      </x:c>
      <x:c r="E366" t="n">
        <x:f>MAX(10,ROUNDDOWN((('Calculator'!$B$10+A366)*SQRT('Calculator'!$B$11+B366)*SQRT('Calculator'!$B$12+C366)*0.667934^2)/10,0))</x:f>
        <x:v>2873</x:v>
      </x:c>
      <x:c r="F366" t="n">
        <x:f>--AND(A366&gt;='Calculator'!$B$5,B366&gt;='Calculator'!$B$5,C366&gt;='Calculator'!$B$5)</x:f>
        <x:v>1</x:v>
      </x:c>
      <x:c r="G366" t="n">
        <x:f>--AND(A366+'Calculator'!$B$6&gt;=15,B366+'Calculator'!$B$6&gt;=15,C366+'Calculator'!$B$6&gt;=15)</x:f>
        <x:v>0</x:v>
      </x:c>
      <x:c r="H366" t="n">
        <x:f>--AND(F366=1,D366='Calculator'!$B$4)</x:f>
        <x:v>0</x:v>
      </x:c>
      <x:c r="I366" t="n">
        <x:f>--AND(H366=1,G366=1)</x:f>
        <x:v>0</x:v>
      </x:c>
      <x:c r="J366" t="n">
        <x:f>--AND(F366=1,E366='Calculator'!$B$4)</x:f>
        <x:v>0</x:v>
      </x:c>
      <x:c r="K366" t="n">
        <x:f>--AND(J366=1,G366=1)</x:f>
        <x:v>0</x:v>
      </x:c>
      <x:c r="L366" t="str">
        <x:f>A366&amp;"/"&amp;B366&amp;"/"&amp;C366</x:f>
        <x:v>9/12/10</x:v>
      </x:c>
      <x:c r="M366" t="str">
        <x:f>MIN(15,A366+'Calculator'!$B$6)&amp;"/"&amp;MIN(15,B366+'Calculator'!$B$6)&amp;"/"&amp;MIN(15,C366+'Calculator'!$B$6)</x:f>
        <x:v>11/14/12</x:v>
      </x:c>
    </x:row>
    <x:row r="367">
      <x:c r="A367" t="n">
        <x:v>9</x:v>
      </x:c>
      <x:c r="B367" t="n">
        <x:v>12</x:v>
      </x:c>
      <x:c r="C367" t="n">
        <x:v>11</x:v>
      </x:c>
      <x:c r="D367" t="n">
        <x:f>MAX(10,ROUNDDOWN((('Calculator'!$B$10+A367)*SQRT('Calculator'!$B$11+B367)*SQRT('Calculator'!$B$12+C367)*0.59740001^2)/10,0))</x:f>
        <x:v>2303</x:v>
      </x:c>
      <x:c r="E367" t="n">
        <x:f>MAX(10,ROUNDDOWN((('Calculator'!$B$10+A367)*SQRT('Calculator'!$B$11+B367)*SQRT('Calculator'!$B$12+C367)*0.667934^2)/10,0))</x:f>
        <x:v>2880</x:v>
      </x:c>
      <x:c r="F367" t="n">
        <x:f>--AND(A367&gt;='Calculator'!$B$5,B367&gt;='Calculator'!$B$5,C367&gt;='Calculator'!$B$5)</x:f>
        <x:v>1</x:v>
      </x:c>
      <x:c r="G367" t="n">
        <x:f>--AND(A367+'Calculator'!$B$6&gt;=15,B367+'Calculator'!$B$6&gt;=15,C367+'Calculator'!$B$6&gt;=15)</x:f>
        <x:v>0</x:v>
      </x:c>
      <x:c r="H367" t="n">
        <x:f>--AND(F367=1,D367='Calculator'!$B$4)</x:f>
        <x:v>0</x:v>
      </x:c>
      <x:c r="I367" t="n">
        <x:f>--AND(H367=1,G367=1)</x:f>
        <x:v>0</x:v>
      </x:c>
      <x:c r="J367" t="n">
        <x:f>--AND(F367=1,E367='Calculator'!$B$4)</x:f>
        <x:v>0</x:v>
      </x:c>
      <x:c r="K367" t="n">
        <x:f>--AND(J367=1,G367=1)</x:f>
        <x:v>0</x:v>
      </x:c>
      <x:c r="L367" t="str">
        <x:f>A367&amp;"/"&amp;B367&amp;"/"&amp;C367</x:f>
        <x:v>9/12/11</x:v>
      </x:c>
      <x:c r="M367" t="str">
        <x:f>MIN(15,A367+'Calculator'!$B$6)&amp;"/"&amp;MIN(15,B367+'Calculator'!$B$6)&amp;"/"&amp;MIN(15,C367+'Calculator'!$B$6)</x:f>
        <x:v>11/14/13</x:v>
      </x:c>
    </x:row>
    <x:row r="368">
      <x:c r="A368" t="n">
        <x:v>9</x:v>
      </x:c>
      <x:c r="B368" t="n">
        <x:v>12</x:v>
      </x:c>
      <x:c r="C368" t="n">
        <x:v>12</x:v>
      </x:c>
      <x:c r="D368" t="n">
        <x:f>MAX(10,ROUNDDOWN((('Calculator'!$B$10+A368)*SQRT('Calculator'!$B$11+B368)*SQRT('Calculator'!$B$12+C368)*0.59740001^2)/10,0))</x:f>
        <x:v>2309</x:v>
      </x:c>
      <x:c r="E368" t="n">
        <x:f>MAX(10,ROUNDDOWN((('Calculator'!$B$10+A368)*SQRT('Calculator'!$B$11+B368)*SQRT('Calculator'!$B$12+C368)*0.667934^2)/10,0))</x:f>
        <x:v>2886</x:v>
      </x:c>
      <x:c r="F368" t="n">
        <x:f>--AND(A368&gt;='Calculator'!$B$5,B368&gt;='Calculator'!$B$5,C368&gt;='Calculator'!$B$5)</x:f>
        <x:v>1</x:v>
      </x:c>
      <x:c r="G368" t="n">
        <x:f>--AND(A368+'Calculator'!$B$6&gt;=15,B368+'Calculator'!$B$6&gt;=15,C368+'Calculator'!$B$6&gt;=15)</x:f>
        <x:v>0</x:v>
      </x:c>
      <x:c r="H368" t="n">
        <x:f>--AND(F368=1,D368='Calculator'!$B$4)</x:f>
        <x:v>0</x:v>
      </x:c>
      <x:c r="I368" t="n">
        <x:f>--AND(H368=1,G368=1)</x:f>
        <x:v>0</x:v>
      </x:c>
      <x:c r="J368" t="n">
        <x:f>--AND(F368=1,E368='Calculator'!$B$4)</x:f>
        <x:v>0</x:v>
      </x:c>
      <x:c r="K368" t="n">
        <x:f>--AND(J368=1,G368=1)</x:f>
        <x:v>0</x:v>
      </x:c>
      <x:c r="L368" t="str">
        <x:f>A368&amp;"/"&amp;B368&amp;"/"&amp;C368</x:f>
        <x:v>9/12/12</x:v>
      </x:c>
      <x:c r="M368" t="str">
        <x:f>MIN(15,A368+'Calculator'!$B$6)&amp;"/"&amp;MIN(15,B368+'Calculator'!$B$6)&amp;"/"&amp;MIN(15,C368+'Calculator'!$B$6)</x:f>
        <x:v>11/14/14</x:v>
      </x:c>
    </x:row>
    <x:row r="369">
      <x:c r="A369" t="n">
        <x:v>9</x:v>
      </x:c>
      <x:c r="B369" t="n">
        <x:v>12</x:v>
      </x:c>
      <x:c r="C369" t="n">
        <x:v>13</x:v>
      </x:c>
      <x:c r="D369" t="n">
        <x:f>MAX(10,ROUNDDOWN((('Calculator'!$B$10+A369)*SQRT('Calculator'!$B$11+B369)*SQRT('Calculator'!$B$12+C369)*0.59740001^2)/10,0))</x:f>
        <x:v>2314</x:v>
      </x:c>
      <x:c r="E369" t="n">
        <x:f>MAX(10,ROUNDDOWN((('Calculator'!$B$10+A369)*SQRT('Calculator'!$B$11+B369)*SQRT('Calculator'!$B$12+C369)*0.667934^2)/10,0))</x:f>
        <x:v>2892</x:v>
      </x:c>
      <x:c r="F369" t="n">
        <x:f>--AND(A369&gt;='Calculator'!$B$5,B369&gt;='Calculator'!$B$5,C369&gt;='Calculator'!$B$5)</x:f>
        <x:v>1</x:v>
      </x:c>
      <x:c r="G369" t="n">
        <x:f>--AND(A369+'Calculator'!$B$6&gt;=15,B369+'Calculator'!$B$6&gt;=15,C369+'Calculator'!$B$6&gt;=15)</x:f>
        <x:v>0</x:v>
      </x:c>
      <x:c r="H369" t="n">
        <x:f>--AND(F369=1,D369='Calculator'!$B$4)</x:f>
        <x:v>0</x:v>
      </x:c>
      <x:c r="I369" t="n">
        <x:f>--AND(H369=1,G369=1)</x:f>
        <x:v>0</x:v>
      </x:c>
      <x:c r="J369" t="n">
        <x:f>--AND(F369=1,E369='Calculator'!$B$4)</x:f>
        <x:v>0</x:v>
      </x:c>
      <x:c r="K369" t="n">
        <x:f>--AND(J369=1,G369=1)</x:f>
        <x:v>0</x:v>
      </x:c>
      <x:c r="L369" t="str">
        <x:f>A369&amp;"/"&amp;B369&amp;"/"&amp;C369</x:f>
        <x:v>9/12/13</x:v>
      </x:c>
      <x:c r="M369" t="str">
        <x:f>MIN(15,A369+'Calculator'!$B$6)&amp;"/"&amp;MIN(15,B369+'Calculator'!$B$6)&amp;"/"&amp;MIN(15,C369+'Calculator'!$B$6)</x:f>
        <x:v>11/14/15</x:v>
      </x:c>
    </x:row>
    <x:row r="370">
      <x:c r="A370" t="n">
        <x:v>9</x:v>
      </x:c>
      <x:c r="B370" t="n">
        <x:v>12</x:v>
      </x:c>
      <x:c r="C370" t="n">
        <x:v>14</x:v>
      </x:c>
      <x:c r="D370" t="n">
        <x:f>MAX(10,ROUNDDOWN((('Calculator'!$B$10+A370)*SQRT('Calculator'!$B$11+B370)*SQRT('Calculator'!$B$12+C370)*0.59740001^2)/10,0))</x:f>
        <x:v>2319</x:v>
      </x:c>
      <x:c r="E370" t="n">
        <x:f>MAX(10,ROUNDDOWN((('Calculator'!$B$10+A370)*SQRT('Calculator'!$B$11+B370)*SQRT('Calculator'!$B$12+C370)*0.667934^2)/10,0))</x:f>
        <x:v>2899</x:v>
      </x:c>
      <x:c r="F370" t="n">
        <x:f>--AND(A370&gt;='Calculator'!$B$5,B370&gt;='Calculator'!$B$5,C370&gt;='Calculator'!$B$5)</x:f>
        <x:v>1</x:v>
      </x:c>
      <x:c r="G370" t="n">
        <x:f>--AND(A370+'Calculator'!$B$6&gt;=15,B370+'Calculator'!$B$6&gt;=15,C370+'Calculator'!$B$6&gt;=15)</x:f>
        <x:v>0</x:v>
      </x:c>
      <x:c r="H370" t="n">
        <x:f>--AND(F370=1,D370='Calculator'!$B$4)</x:f>
        <x:v>0</x:v>
      </x:c>
      <x:c r="I370" t="n">
        <x:f>--AND(H370=1,G370=1)</x:f>
        <x:v>0</x:v>
      </x:c>
      <x:c r="J370" t="n">
        <x:f>--AND(F370=1,E370='Calculator'!$B$4)</x:f>
        <x:v>0</x:v>
      </x:c>
      <x:c r="K370" t="n">
        <x:f>--AND(J370=1,G370=1)</x:f>
        <x:v>0</x:v>
      </x:c>
      <x:c r="L370" t="str">
        <x:f>A370&amp;"/"&amp;B370&amp;"/"&amp;C370</x:f>
        <x:v>9/12/14</x:v>
      </x:c>
      <x:c r="M370" t="str">
        <x:f>MIN(15,A370+'Calculator'!$B$6)&amp;"/"&amp;MIN(15,B370+'Calculator'!$B$6)&amp;"/"&amp;MIN(15,C370+'Calculator'!$B$6)</x:f>
        <x:v>11/14/15</x:v>
      </x:c>
    </x:row>
    <x:row r="371">
      <x:c r="A371" t="n">
        <x:v>9</x:v>
      </x:c>
      <x:c r="B371" t="n">
        <x:v>12</x:v>
      </x:c>
      <x:c r="C371" t="n">
        <x:v>15</x:v>
      </x:c>
      <x:c r="D371" t="n">
        <x:f>MAX(10,ROUNDDOWN((('Calculator'!$B$10+A371)*SQRT('Calculator'!$B$11+B371)*SQRT('Calculator'!$B$12+C371)*0.59740001^2)/10,0))</x:f>
        <x:v>2324</x:v>
      </x:c>
      <x:c r="E371" t="n">
        <x:f>MAX(10,ROUNDDOWN((('Calculator'!$B$10+A371)*SQRT('Calculator'!$B$11+B371)*SQRT('Calculator'!$B$12+C371)*0.667934^2)/10,0))</x:f>
        <x:v>2905</x:v>
      </x:c>
      <x:c r="F371" t="n">
        <x:f>--AND(A371&gt;='Calculator'!$B$5,B371&gt;='Calculator'!$B$5,C371&gt;='Calculator'!$B$5)</x:f>
        <x:v>1</x:v>
      </x:c>
      <x:c r="G371" t="n">
        <x:f>--AND(A371+'Calculator'!$B$6&gt;=15,B371+'Calculator'!$B$6&gt;=15,C371+'Calculator'!$B$6&gt;=15)</x:f>
        <x:v>0</x:v>
      </x:c>
      <x:c r="H371" t="n">
        <x:f>--AND(F371=1,D371='Calculator'!$B$4)</x:f>
        <x:v>0</x:v>
      </x:c>
      <x:c r="I371" t="n">
        <x:f>--AND(H371=1,G371=1)</x:f>
        <x:v>0</x:v>
      </x:c>
      <x:c r="J371" t="n">
        <x:f>--AND(F371=1,E371='Calculator'!$B$4)</x:f>
        <x:v>0</x:v>
      </x:c>
      <x:c r="K371" t="n">
        <x:f>--AND(J371=1,G371=1)</x:f>
        <x:v>0</x:v>
      </x:c>
      <x:c r="L371" t="str">
        <x:f>A371&amp;"/"&amp;B371&amp;"/"&amp;C371</x:f>
        <x:v>9/12/15</x:v>
      </x:c>
      <x:c r="M371" t="str">
        <x:f>MIN(15,A371+'Calculator'!$B$6)&amp;"/"&amp;MIN(15,B371+'Calculator'!$B$6)&amp;"/"&amp;MIN(15,C371+'Calculator'!$B$6)</x:f>
        <x:v>11/14/15</x:v>
      </x:c>
    </x:row>
    <x:row r="372">
      <x:c r="A372" t="n">
        <x:v>9</x:v>
      </x:c>
      <x:c r="B372" t="n">
        <x:v>13</x:v>
      </x:c>
      <x:c r="C372" t="n">
        <x:v>6</x:v>
      </x:c>
      <x:c r="D372" t="n">
        <x:f>MAX(10,ROUNDDOWN((('Calculator'!$B$10+A372)*SQRT('Calculator'!$B$11+B372)*SQRT('Calculator'!$B$12+C372)*0.59740001^2)/10,0))</x:f>
        <x:v>2284</x:v>
      </x:c>
      <x:c r="E372" t="n">
        <x:f>MAX(10,ROUNDDOWN((('Calculator'!$B$10+A372)*SQRT('Calculator'!$B$11+B372)*SQRT('Calculator'!$B$12+C372)*0.667934^2)/10,0))</x:f>
        <x:v>2855</x:v>
      </x:c>
      <x:c r="F372" t="n">
        <x:f>--AND(A372&gt;='Calculator'!$B$5,B372&gt;='Calculator'!$B$5,C372&gt;='Calculator'!$B$5)</x:f>
        <x:v>1</x:v>
      </x:c>
      <x:c r="G372" t="n">
        <x:f>--AND(A372+'Calculator'!$B$6&gt;=15,B372+'Calculator'!$B$6&gt;=15,C372+'Calculator'!$B$6&gt;=15)</x:f>
        <x:v>0</x:v>
      </x:c>
      <x:c r="H372" t="n">
        <x:f>--AND(F372=1,D372='Calculator'!$B$4)</x:f>
        <x:v>0</x:v>
      </x:c>
      <x:c r="I372" t="n">
        <x:f>--AND(H372=1,G372=1)</x:f>
        <x:v>0</x:v>
      </x:c>
      <x:c r="J372" t="n">
        <x:f>--AND(F372=1,E372='Calculator'!$B$4)</x:f>
        <x:v>0</x:v>
      </x:c>
      <x:c r="K372" t="n">
        <x:f>--AND(J372=1,G372=1)</x:f>
        <x:v>0</x:v>
      </x:c>
      <x:c r="L372" t="str">
        <x:f>A372&amp;"/"&amp;B372&amp;"/"&amp;C372</x:f>
        <x:v>9/13/6</x:v>
      </x:c>
      <x:c r="M372" t="str">
        <x:f>MIN(15,A372+'Calculator'!$B$6)&amp;"/"&amp;MIN(15,B372+'Calculator'!$B$6)&amp;"/"&amp;MIN(15,C372+'Calculator'!$B$6)</x:f>
        <x:v>11/15/8</x:v>
      </x:c>
    </x:row>
    <x:row r="373">
      <x:c r="A373" t="n">
        <x:v>9</x:v>
      </x:c>
      <x:c r="B373" t="n">
        <x:v>13</x:v>
      </x:c>
      <x:c r="C373" t="n">
        <x:v>7</x:v>
      </x:c>
      <x:c r="D373" t="n">
        <x:f>MAX(10,ROUNDDOWN((('Calculator'!$B$10+A373)*SQRT('Calculator'!$B$11+B373)*SQRT('Calculator'!$B$12+C373)*0.59740001^2)/10,0))</x:f>
        <x:v>2289</x:v>
      </x:c>
      <x:c r="E373" t="n">
        <x:f>MAX(10,ROUNDDOWN((('Calculator'!$B$10+A373)*SQRT('Calculator'!$B$11+B373)*SQRT('Calculator'!$B$12+C373)*0.667934^2)/10,0))</x:f>
        <x:v>2861</x:v>
      </x:c>
      <x:c r="F373" t="n">
        <x:f>--AND(A373&gt;='Calculator'!$B$5,B373&gt;='Calculator'!$B$5,C373&gt;='Calculator'!$B$5)</x:f>
        <x:v>1</x:v>
      </x:c>
      <x:c r="G373" t="n">
        <x:f>--AND(A373+'Calculator'!$B$6&gt;=15,B373+'Calculator'!$B$6&gt;=15,C373+'Calculator'!$B$6&gt;=15)</x:f>
        <x:v>0</x:v>
      </x:c>
      <x:c r="H373" t="n">
        <x:f>--AND(F373=1,D373='Calculator'!$B$4)</x:f>
        <x:v>0</x:v>
      </x:c>
      <x:c r="I373" t="n">
        <x:f>--AND(H373=1,G373=1)</x:f>
        <x:v>0</x:v>
      </x:c>
      <x:c r="J373" t="n">
        <x:f>--AND(F373=1,E373='Calculator'!$B$4)</x:f>
        <x:v>0</x:v>
      </x:c>
      <x:c r="K373" t="n">
        <x:f>--AND(J373=1,G373=1)</x:f>
        <x:v>0</x:v>
      </x:c>
      <x:c r="L373" t="str">
        <x:f>A373&amp;"/"&amp;B373&amp;"/"&amp;C373</x:f>
        <x:v>9/13/7</x:v>
      </x:c>
      <x:c r="M373" t="str">
        <x:f>MIN(15,A373+'Calculator'!$B$6)&amp;"/"&amp;MIN(15,B373+'Calculator'!$B$6)&amp;"/"&amp;MIN(15,C373+'Calculator'!$B$6)</x:f>
        <x:v>11/15/9</x:v>
      </x:c>
    </x:row>
    <x:row r="374">
      <x:c r="A374" t="n">
        <x:v>9</x:v>
      </x:c>
      <x:c r="B374" t="n">
        <x:v>13</x:v>
      </x:c>
      <x:c r="C374" t="n">
        <x:v>8</x:v>
      </x:c>
      <x:c r="D374" t="n">
        <x:f>MAX(10,ROUNDDOWN((('Calculator'!$B$10+A374)*SQRT('Calculator'!$B$11+B374)*SQRT('Calculator'!$B$12+C374)*0.59740001^2)/10,0))</x:f>
        <x:v>2294</x:v>
      </x:c>
      <x:c r="E374" t="n">
        <x:f>MAX(10,ROUNDDOWN((('Calculator'!$B$10+A374)*SQRT('Calculator'!$B$11+B374)*SQRT('Calculator'!$B$12+C374)*0.667934^2)/10,0))</x:f>
        <x:v>2868</x:v>
      </x:c>
      <x:c r="F374" t="n">
        <x:f>--AND(A374&gt;='Calculator'!$B$5,B374&gt;='Calculator'!$B$5,C374&gt;='Calculator'!$B$5)</x:f>
        <x:v>1</x:v>
      </x:c>
      <x:c r="G374" t="n">
        <x:f>--AND(A374+'Calculator'!$B$6&gt;=15,B374+'Calculator'!$B$6&gt;=15,C374+'Calculator'!$B$6&gt;=15)</x:f>
        <x:v>0</x:v>
      </x:c>
      <x:c r="H374" t="n">
        <x:f>--AND(F374=1,D374='Calculator'!$B$4)</x:f>
        <x:v>0</x:v>
      </x:c>
      <x:c r="I374" t="n">
        <x:f>--AND(H374=1,G374=1)</x:f>
        <x:v>0</x:v>
      </x:c>
      <x:c r="J374" t="n">
        <x:f>--AND(F374=1,E374='Calculator'!$B$4)</x:f>
        <x:v>0</x:v>
      </x:c>
      <x:c r="K374" t="n">
        <x:f>--AND(J374=1,G374=1)</x:f>
        <x:v>0</x:v>
      </x:c>
      <x:c r="L374" t="str">
        <x:f>A374&amp;"/"&amp;B374&amp;"/"&amp;C374</x:f>
        <x:v>9/13/8</x:v>
      </x:c>
      <x:c r="M374" t="str">
        <x:f>MIN(15,A374+'Calculator'!$B$6)&amp;"/"&amp;MIN(15,B374+'Calculator'!$B$6)&amp;"/"&amp;MIN(15,C374+'Calculator'!$B$6)</x:f>
        <x:v>11/15/10</x:v>
      </x:c>
    </x:row>
    <x:row r="375">
      <x:c r="A375" t="n">
        <x:v>9</x:v>
      </x:c>
      <x:c r="B375" t="n">
        <x:v>13</x:v>
      </x:c>
      <x:c r="C375" t="n">
        <x:v>9</x:v>
      </x:c>
      <x:c r="D375" t="n">
        <x:f>MAX(10,ROUNDDOWN((('Calculator'!$B$10+A375)*SQRT('Calculator'!$B$11+B375)*SQRT('Calculator'!$B$12+C375)*0.59740001^2)/10,0))</x:f>
        <x:v>2299</x:v>
      </x:c>
      <x:c r="E375" t="n">
        <x:f>MAX(10,ROUNDDOWN((('Calculator'!$B$10+A375)*SQRT('Calculator'!$B$11+B375)*SQRT('Calculator'!$B$12+C375)*0.667934^2)/10,0))</x:f>
        <x:v>2874</x:v>
      </x:c>
      <x:c r="F375" t="n">
        <x:f>--AND(A375&gt;='Calculator'!$B$5,B375&gt;='Calculator'!$B$5,C375&gt;='Calculator'!$B$5)</x:f>
        <x:v>1</x:v>
      </x:c>
      <x:c r="G375" t="n">
        <x:f>--AND(A375+'Calculator'!$B$6&gt;=15,B375+'Calculator'!$B$6&gt;=15,C375+'Calculator'!$B$6&gt;=15)</x:f>
        <x:v>0</x:v>
      </x:c>
      <x:c r="H375" t="n">
        <x:f>--AND(F375=1,D375='Calculator'!$B$4)</x:f>
        <x:v>0</x:v>
      </x:c>
      <x:c r="I375" t="n">
        <x:f>--AND(H375=1,G375=1)</x:f>
        <x:v>0</x:v>
      </x:c>
      <x:c r="J375" t="n">
        <x:f>--AND(F375=1,E375='Calculator'!$B$4)</x:f>
        <x:v>0</x:v>
      </x:c>
      <x:c r="K375" t="n">
        <x:f>--AND(J375=1,G375=1)</x:f>
        <x:v>0</x:v>
      </x:c>
      <x:c r="L375" t="str">
        <x:f>A375&amp;"/"&amp;B375&amp;"/"&amp;C375</x:f>
        <x:v>9/13/9</x:v>
      </x:c>
      <x:c r="M375" t="str">
        <x:f>MIN(15,A375+'Calculator'!$B$6)&amp;"/"&amp;MIN(15,B375+'Calculator'!$B$6)&amp;"/"&amp;MIN(15,C375+'Calculator'!$B$6)</x:f>
        <x:v>11/15/11</x:v>
      </x:c>
    </x:row>
    <x:row r="376">
      <x:c r="A376" t="n">
        <x:v>9</x:v>
      </x:c>
      <x:c r="B376" t="n">
        <x:v>13</x:v>
      </x:c>
      <x:c r="C376" t="n">
        <x:v>10</x:v>
      </x:c>
      <x:c r="D376" t="n">
        <x:f>MAX(10,ROUNDDOWN((('Calculator'!$B$10+A376)*SQRT('Calculator'!$B$11+B376)*SQRT('Calculator'!$B$12+C376)*0.59740001^2)/10,0))</x:f>
        <x:v>2304</x:v>
      </x:c>
      <x:c r="E376" t="n">
        <x:f>MAX(10,ROUNDDOWN((('Calculator'!$B$10+A376)*SQRT('Calculator'!$B$11+B376)*SQRT('Calculator'!$B$12+C376)*0.667934^2)/10,0))</x:f>
        <x:v>2881</x:v>
      </x:c>
      <x:c r="F376" t="n">
        <x:f>--AND(A376&gt;='Calculator'!$B$5,B376&gt;='Calculator'!$B$5,C376&gt;='Calculator'!$B$5)</x:f>
        <x:v>1</x:v>
      </x:c>
      <x:c r="G376" t="n">
        <x:f>--AND(A376+'Calculator'!$B$6&gt;=15,B376+'Calculator'!$B$6&gt;=15,C376+'Calculator'!$B$6&gt;=15)</x:f>
        <x:v>0</x:v>
      </x:c>
      <x:c r="H376" t="n">
        <x:f>--AND(F376=1,D376='Calculator'!$B$4)</x:f>
        <x:v>0</x:v>
      </x:c>
      <x:c r="I376" t="n">
        <x:f>--AND(H376=1,G376=1)</x:f>
        <x:v>0</x:v>
      </x:c>
      <x:c r="J376" t="n">
        <x:f>--AND(F376=1,E376='Calculator'!$B$4)</x:f>
        <x:v>0</x:v>
      </x:c>
      <x:c r="K376" t="n">
        <x:f>--AND(J376=1,G376=1)</x:f>
        <x:v>0</x:v>
      </x:c>
      <x:c r="L376" t="str">
        <x:f>A376&amp;"/"&amp;B376&amp;"/"&amp;C376</x:f>
        <x:v>9/13/10</x:v>
      </x:c>
      <x:c r="M376" t="str">
        <x:f>MIN(15,A376+'Calculator'!$B$6)&amp;"/"&amp;MIN(15,B376+'Calculator'!$B$6)&amp;"/"&amp;MIN(15,C376+'Calculator'!$B$6)</x:f>
        <x:v>11/15/12</x:v>
      </x:c>
    </x:row>
    <x:row r="377">
      <x:c r="A377" t="n">
        <x:v>9</x:v>
      </x:c>
      <x:c r="B377" t="n">
        <x:v>13</x:v>
      </x:c>
      <x:c r="C377" t="n">
        <x:v>11</x:v>
      </x:c>
      <x:c r="D377" t="n">
        <x:f>MAX(10,ROUNDDOWN((('Calculator'!$B$10+A377)*SQRT('Calculator'!$B$11+B377)*SQRT('Calculator'!$B$12+C377)*0.59740001^2)/10,0))</x:f>
        <x:v>2309</x:v>
      </x:c>
      <x:c r="E377" t="n">
        <x:f>MAX(10,ROUNDDOWN((('Calculator'!$B$10+A377)*SQRT('Calculator'!$B$11+B377)*SQRT('Calculator'!$B$12+C377)*0.667934^2)/10,0))</x:f>
        <x:v>2887</x:v>
      </x:c>
      <x:c r="F377" t="n">
        <x:f>--AND(A377&gt;='Calculator'!$B$5,B377&gt;='Calculator'!$B$5,C377&gt;='Calculator'!$B$5)</x:f>
        <x:v>1</x:v>
      </x:c>
      <x:c r="G377" t="n">
        <x:f>--AND(A377+'Calculator'!$B$6&gt;=15,B377+'Calculator'!$B$6&gt;=15,C377+'Calculator'!$B$6&gt;=15)</x:f>
        <x:v>0</x:v>
      </x:c>
      <x:c r="H377" t="n">
        <x:f>--AND(F377=1,D377='Calculator'!$B$4)</x:f>
        <x:v>0</x:v>
      </x:c>
      <x:c r="I377" t="n">
        <x:f>--AND(H377=1,G377=1)</x:f>
        <x:v>0</x:v>
      </x:c>
      <x:c r="J377" t="n">
        <x:f>--AND(F377=1,E377='Calculator'!$B$4)</x:f>
        <x:v>0</x:v>
      </x:c>
      <x:c r="K377" t="n">
        <x:f>--AND(J377=1,G377=1)</x:f>
        <x:v>0</x:v>
      </x:c>
      <x:c r="L377" t="str">
        <x:f>A377&amp;"/"&amp;B377&amp;"/"&amp;C377</x:f>
        <x:v>9/13/11</x:v>
      </x:c>
      <x:c r="M377" t="str">
        <x:f>MIN(15,A377+'Calculator'!$B$6)&amp;"/"&amp;MIN(15,B377+'Calculator'!$B$6)&amp;"/"&amp;MIN(15,C377+'Calculator'!$B$6)</x:f>
        <x:v>11/15/13</x:v>
      </x:c>
    </x:row>
    <x:row r="378">
      <x:c r="A378" t="n">
        <x:v>9</x:v>
      </x:c>
      <x:c r="B378" t="n">
        <x:v>13</x:v>
      </x:c>
      <x:c r="C378" t="n">
        <x:v>12</x:v>
      </x:c>
      <x:c r="D378" t="n">
        <x:f>MAX(10,ROUNDDOWN((('Calculator'!$B$10+A378)*SQRT('Calculator'!$B$11+B378)*SQRT('Calculator'!$B$12+C378)*0.59740001^2)/10,0))</x:f>
        <x:v>2315</x:v>
      </x:c>
      <x:c r="E378" t="n">
        <x:f>MAX(10,ROUNDDOWN((('Calculator'!$B$10+A378)*SQRT('Calculator'!$B$11+B378)*SQRT('Calculator'!$B$12+C378)*0.667934^2)/10,0))</x:f>
        <x:v>2893</x:v>
      </x:c>
      <x:c r="F378" t="n">
        <x:f>--AND(A378&gt;='Calculator'!$B$5,B378&gt;='Calculator'!$B$5,C378&gt;='Calculator'!$B$5)</x:f>
        <x:v>1</x:v>
      </x:c>
      <x:c r="G378" t="n">
        <x:f>--AND(A378+'Calculator'!$B$6&gt;=15,B378+'Calculator'!$B$6&gt;=15,C378+'Calculator'!$B$6&gt;=15)</x:f>
        <x:v>0</x:v>
      </x:c>
      <x:c r="H378" t="n">
        <x:f>--AND(F378=1,D378='Calculator'!$B$4)</x:f>
        <x:v>0</x:v>
      </x:c>
      <x:c r="I378" t="n">
        <x:f>--AND(H378=1,G378=1)</x:f>
        <x:v>0</x:v>
      </x:c>
      <x:c r="J378" t="n">
        <x:f>--AND(F378=1,E378='Calculator'!$B$4)</x:f>
        <x:v>0</x:v>
      </x:c>
      <x:c r="K378" t="n">
        <x:f>--AND(J378=1,G378=1)</x:f>
        <x:v>0</x:v>
      </x:c>
      <x:c r="L378" t="str">
        <x:f>A378&amp;"/"&amp;B378&amp;"/"&amp;C378</x:f>
        <x:v>9/13/12</x:v>
      </x:c>
      <x:c r="M378" t="str">
        <x:f>MIN(15,A378+'Calculator'!$B$6)&amp;"/"&amp;MIN(15,B378+'Calculator'!$B$6)&amp;"/"&amp;MIN(15,C378+'Calculator'!$B$6)</x:f>
        <x:v>11/15/14</x:v>
      </x:c>
    </x:row>
    <x:row r="379">
      <x:c r="A379" t="n">
        <x:v>9</x:v>
      </x:c>
      <x:c r="B379" t="n">
        <x:v>13</x:v>
      </x:c>
      <x:c r="C379" t="n">
        <x:v>13</x:v>
      </x:c>
      <x:c r="D379" t="n">
        <x:f>MAX(10,ROUNDDOWN((('Calculator'!$B$10+A379)*SQRT('Calculator'!$B$11+B379)*SQRT('Calculator'!$B$12+C379)*0.59740001^2)/10,0))</x:f>
        <x:v>2320</x:v>
      </x:c>
      <x:c r="E379" t="n">
        <x:f>MAX(10,ROUNDDOWN((('Calculator'!$B$10+A379)*SQRT('Calculator'!$B$11+B379)*SQRT('Calculator'!$B$12+C379)*0.667934^2)/10,0))</x:f>
        <x:v>2900</x:v>
      </x:c>
      <x:c r="F379" t="n">
        <x:f>--AND(A379&gt;='Calculator'!$B$5,B379&gt;='Calculator'!$B$5,C379&gt;='Calculator'!$B$5)</x:f>
        <x:v>1</x:v>
      </x:c>
      <x:c r="G379" t="n">
        <x:f>--AND(A379+'Calculator'!$B$6&gt;=15,B379+'Calculator'!$B$6&gt;=15,C379+'Calculator'!$B$6&gt;=15)</x:f>
        <x:v>0</x:v>
      </x:c>
      <x:c r="H379" t="n">
        <x:f>--AND(F379=1,D379='Calculator'!$B$4)</x:f>
        <x:v>0</x:v>
      </x:c>
      <x:c r="I379" t="n">
        <x:f>--AND(H379=1,G379=1)</x:f>
        <x:v>0</x:v>
      </x:c>
      <x:c r="J379" t="n">
        <x:f>--AND(F379=1,E379='Calculator'!$B$4)</x:f>
        <x:v>0</x:v>
      </x:c>
      <x:c r="K379" t="n">
        <x:f>--AND(J379=1,G379=1)</x:f>
        <x:v>0</x:v>
      </x:c>
      <x:c r="L379" t="str">
        <x:f>A379&amp;"/"&amp;B379&amp;"/"&amp;C379</x:f>
        <x:v>9/13/13</x:v>
      </x:c>
      <x:c r="M379" t="str">
        <x:f>MIN(15,A379+'Calculator'!$B$6)&amp;"/"&amp;MIN(15,B379+'Calculator'!$B$6)&amp;"/"&amp;MIN(15,C379+'Calculator'!$B$6)</x:f>
        <x:v>11/15/15</x:v>
      </x:c>
    </x:row>
    <x:row r="380">
      <x:c r="A380" t="n">
        <x:v>9</x:v>
      </x:c>
      <x:c r="B380" t="n">
        <x:v>13</x:v>
      </x:c>
      <x:c r="C380" t="n">
        <x:v>14</x:v>
      </x:c>
      <x:c r="D380" t="n">
        <x:f>MAX(10,ROUNDDOWN((('Calculator'!$B$10+A380)*SQRT('Calculator'!$B$11+B380)*SQRT('Calculator'!$B$12+C380)*0.59740001^2)/10,0))</x:f>
        <x:v>2325</x:v>
      </x:c>
      <x:c r="E380" t="n">
        <x:f>MAX(10,ROUNDDOWN((('Calculator'!$B$10+A380)*SQRT('Calculator'!$B$11+B380)*SQRT('Calculator'!$B$12+C380)*0.667934^2)/10,0))</x:f>
        <x:v>2906</x:v>
      </x:c>
      <x:c r="F380" t="n">
        <x:f>--AND(A380&gt;='Calculator'!$B$5,B380&gt;='Calculator'!$B$5,C380&gt;='Calculator'!$B$5)</x:f>
        <x:v>1</x:v>
      </x:c>
      <x:c r="G380" t="n">
        <x:f>--AND(A380+'Calculator'!$B$6&gt;=15,B380+'Calculator'!$B$6&gt;=15,C380+'Calculator'!$B$6&gt;=15)</x:f>
        <x:v>0</x:v>
      </x:c>
      <x:c r="H380" t="n">
        <x:f>--AND(F380=1,D380='Calculator'!$B$4)</x:f>
        <x:v>0</x:v>
      </x:c>
      <x:c r="I380" t="n">
        <x:f>--AND(H380=1,G380=1)</x:f>
        <x:v>0</x:v>
      </x:c>
      <x:c r="J380" t="n">
        <x:f>--AND(F380=1,E380='Calculator'!$B$4)</x:f>
        <x:v>0</x:v>
      </x:c>
      <x:c r="K380" t="n">
        <x:f>--AND(J380=1,G380=1)</x:f>
        <x:v>0</x:v>
      </x:c>
      <x:c r="L380" t="str">
        <x:f>A380&amp;"/"&amp;B380&amp;"/"&amp;C380</x:f>
        <x:v>9/13/14</x:v>
      </x:c>
      <x:c r="M380" t="str">
        <x:f>MIN(15,A380+'Calculator'!$B$6)&amp;"/"&amp;MIN(15,B380+'Calculator'!$B$6)&amp;"/"&amp;MIN(15,C380+'Calculator'!$B$6)</x:f>
        <x:v>11/15/15</x:v>
      </x:c>
    </x:row>
    <x:row r="381">
      <x:c r="A381" t="n">
        <x:v>9</x:v>
      </x:c>
      <x:c r="B381" t="n">
        <x:v>13</x:v>
      </x:c>
      <x:c r="C381" t="n">
        <x:v>15</x:v>
      </x:c>
      <x:c r="D381" t="n">
        <x:f>MAX(10,ROUNDDOWN((('Calculator'!$B$10+A381)*SQRT('Calculator'!$B$11+B381)*SQRT('Calculator'!$B$12+C381)*0.59740001^2)/10,0))</x:f>
        <x:v>2330</x:v>
      </x:c>
      <x:c r="E381" t="n">
        <x:f>MAX(10,ROUNDDOWN((('Calculator'!$B$10+A381)*SQRT('Calculator'!$B$11+B381)*SQRT('Calculator'!$B$12+C381)*0.667934^2)/10,0))</x:f>
        <x:v>2913</x:v>
      </x:c>
      <x:c r="F381" t="n">
        <x:f>--AND(A381&gt;='Calculator'!$B$5,B381&gt;='Calculator'!$B$5,C381&gt;='Calculator'!$B$5)</x:f>
        <x:v>1</x:v>
      </x:c>
      <x:c r="G381" t="n">
        <x:f>--AND(A381+'Calculator'!$B$6&gt;=15,B381+'Calculator'!$B$6&gt;=15,C381+'Calculator'!$B$6&gt;=15)</x:f>
        <x:v>0</x:v>
      </x:c>
      <x:c r="H381" t="n">
        <x:f>--AND(F381=1,D381='Calculator'!$B$4)</x:f>
        <x:v>0</x:v>
      </x:c>
      <x:c r="I381" t="n">
        <x:f>--AND(H381=1,G381=1)</x:f>
        <x:v>0</x:v>
      </x:c>
      <x:c r="J381" t="n">
        <x:f>--AND(F381=1,E381='Calculator'!$B$4)</x:f>
        <x:v>0</x:v>
      </x:c>
      <x:c r="K381" t="n">
        <x:f>--AND(J381=1,G381=1)</x:f>
        <x:v>0</x:v>
      </x:c>
      <x:c r="L381" t="str">
        <x:f>A381&amp;"/"&amp;B381&amp;"/"&amp;C381</x:f>
        <x:v>9/13/15</x:v>
      </x:c>
      <x:c r="M381" t="str">
        <x:f>MIN(15,A381+'Calculator'!$B$6)&amp;"/"&amp;MIN(15,B381+'Calculator'!$B$6)&amp;"/"&amp;MIN(15,C381+'Calculator'!$B$6)</x:f>
        <x:v>11/15/15</x:v>
      </x:c>
    </x:row>
    <x:row r="382">
      <x:c r="A382" t="n">
        <x:v>9</x:v>
      </x:c>
      <x:c r="B382" t="n">
        <x:v>14</x:v>
      </x:c>
      <x:c r="C382" t="n">
        <x:v>6</x:v>
      </x:c>
      <x:c r="D382" t="n">
        <x:f>MAX(10,ROUNDDOWN((('Calculator'!$B$10+A382)*SQRT('Calculator'!$B$11+B382)*SQRT('Calculator'!$B$12+C382)*0.59740001^2)/10,0))</x:f>
        <x:v>2289</x:v>
      </x:c>
      <x:c r="E382" t="n">
        <x:f>MAX(10,ROUNDDOWN((('Calculator'!$B$10+A382)*SQRT('Calculator'!$B$11+B382)*SQRT('Calculator'!$B$12+C382)*0.667934^2)/10,0))</x:f>
        <x:v>2862</x:v>
      </x:c>
      <x:c r="F382" t="n">
        <x:f>--AND(A382&gt;='Calculator'!$B$5,B382&gt;='Calculator'!$B$5,C382&gt;='Calculator'!$B$5)</x:f>
        <x:v>1</x:v>
      </x:c>
      <x:c r="G382" t="n">
        <x:f>--AND(A382+'Calculator'!$B$6&gt;=15,B382+'Calculator'!$B$6&gt;=15,C382+'Calculator'!$B$6&gt;=15)</x:f>
        <x:v>0</x:v>
      </x:c>
      <x:c r="H382" t="n">
        <x:f>--AND(F382=1,D382='Calculator'!$B$4)</x:f>
        <x:v>0</x:v>
      </x:c>
      <x:c r="I382" t="n">
        <x:f>--AND(H382=1,G382=1)</x:f>
        <x:v>0</x:v>
      </x:c>
      <x:c r="J382" t="n">
        <x:f>--AND(F382=1,E382='Calculator'!$B$4)</x:f>
        <x:v>0</x:v>
      </x:c>
      <x:c r="K382" t="n">
        <x:f>--AND(J382=1,G382=1)</x:f>
        <x:v>0</x:v>
      </x:c>
      <x:c r="L382" t="str">
        <x:f>A382&amp;"/"&amp;B382&amp;"/"&amp;C382</x:f>
        <x:v>9/14/6</x:v>
      </x:c>
      <x:c r="M382" t="str">
        <x:f>MIN(15,A382+'Calculator'!$B$6)&amp;"/"&amp;MIN(15,B382+'Calculator'!$B$6)&amp;"/"&amp;MIN(15,C382+'Calculator'!$B$6)</x:f>
        <x:v>11/15/8</x:v>
      </x:c>
    </x:row>
    <x:row r="383">
      <x:c r="A383" t="n">
        <x:v>9</x:v>
      </x:c>
      <x:c r="B383" t="n">
        <x:v>14</x:v>
      </x:c>
      <x:c r="C383" t="n">
        <x:v>7</x:v>
      </x:c>
      <x:c r="D383" t="n">
        <x:f>MAX(10,ROUNDDOWN((('Calculator'!$B$10+A383)*SQRT('Calculator'!$B$11+B383)*SQRT('Calculator'!$B$12+C383)*0.59740001^2)/10,0))</x:f>
        <x:v>2295</x:v>
      </x:c>
      <x:c r="E383" t="n">
        <x:f>MAX(10,ROUNDDOWN((('Calculator'!$B$10+A383)*SQRT('Calculator'!$B$11+B383)*SQRT('Calculator'!$B$12+C383)*0.667934^2)/10,0))</x:f>
        <x:v>2869</x:v>
      </x:c>
      <x:c r="F383" t="n">
        <x:f>--AND(A383&gt;='Calculator'!$B$5,B383&gt;='Calculator'!$B$5,C383&gt;='Calculator'!$B$5)</x:f>
        <x:v>1</x:v>
      </x:c>
      <x:c r="G383" t="n">
        <x:f>--AND(A383+'Calculator'!$B$6&gt;=15,B383+'Calculator'!$B$6&gt;=15,C383+'Calculator'!$B$6&gt;=15)</x:f>
        <x:v>0</x:v>
      </x:c>
      <x:c r="H383" t="n">
        <x:f>--AND(F383=1,D383='Calculator'!$B$4)</x:f>
        <x:v>0</x:v>
      </x:c>
      <x:c r="I383" t="n">
        <x:f>--AND(H383=1,G383=1)</x:f>
        <x:v>0</x:v>
      </x:c>
      <x:c r="J383" t="n">
        <x:f>--AND(F383=1,E383='Calculator'!$B$4)</x:f>
        <x:v>0</x:v>
      </x:c>
      <x:c r="K383" t="n">
        <x:f>--AND(J383=1,G383=1)</x:f>
        <x:v>0</x:v>
      </x:c>
      <x:c r="L383" t="str">
        <x:f>A383&amp;"/"&amp;B383&amp;"/"&amp;C383</x:f>
        <x:v>9/14/7</x:v>
      </x:c>
      <x:c r="M383" t="str">
        <x:f>MIN(15,A383+'Calculator'!$B$6)&amp;"/"&amp;MIN(15,B383+'Calculator'!$B$6)&amp;"/"&amp;MIN(15,C383+'Calculator'!$B$6)</x:f>
        <x:v>11/15/9</x:v>
      </x:c>
    </x:row>
    <x:row r="384">
      <x:c r="A384" t="n">
        <x:v>9</x:v>
      </x:c>
      <x:c r="B384" t="n">
        <x:v>14</x:v>
      </x:c>
      <x:c r="C384" t="n">
        <x:v>8</x:v>
      </x:c>
      <x:c r="D384" t="n">
        <x:f>MAX(10,ROUNDDOWN((('Calculator'!$B$10+A384)*SQRT('Calculator'!$B$11+B384)*SQRT('Calculator'!$B$12+C384)*0.59740001^2)/10,0))</x:f>
        <x:v>2300</x:v>
      </x:c>
      <x:c r="E384" t="n">
        <x:f>MAX(10,ROUNDDOWN((('Calculator'!$B$10+A384)*SQRT('Calculator'!$B$11+B384)*SQRT('Calculator'!$B$12+C384)*0.667934^2)/10,0))</x:f>
        <x:v>2875</x:v>
      </x:c>
      <x:c r="F384" t="n">
        <x:f>--AND(A384&gt;='Calculator'!$B$5,B384&gt;='Calculator'!$B$5,C384&gt;='Calculator'!$B$5)</x:f>
        <x:v>1</x:v>
      </x:c>
      <x:c r="G384" t="n">
        <x:f>--AND(A384+'Calculator'!$B$6&gt;=15,B384+'Calculator'!$B$6&gt;=15,C384+'Calculator'!$B$6&gt;=15)</x:f>
        <x:v>0</x:v>
      </x:c>
      <x:c r="H384" t="n">
        <x:f>--AND(F384=1,D384='Calculator'!$B$4)</x:f>
        <x:v>0</x:v>
      </x:c>
      <x:c r="I384" t="n">
        <x:f>--AND(H384=1,G384=1)</x:f>
        <x:v>0</x:v>
      </x:c>
      <x:c r="J384" t="n">
        <x:f>--AND(F384=1,E384='Calculator'!$B$4)</x:f>
        <x:v>0</x:v>
      </x:c>
      <x:c r="K384" t="n">
        <x:f>--AND(J384=1,G384=1)</x:f>
        <x:v>0</x:v>
      </x:c>
      <x:c r="L384" t="str">
        <x:f>A384&amp;"/"&amp;B384&amp;"/"&amp;C384</x:f>
        <x:v>9/14/8</x:v>
      </x:c>
      <x:c r="M384" t="str">
        <x:f>MIN(15,A384+'Calculator'!$B$6)&amp;"/"&amp;MIN(15,B384+'Calculator'!$B$6)&amp;"/"&amp;MIN(15,C384+'Calculator'!$B$6)</x:f>
        <x:v>11/15/10</x:v>
      </x:c>
    </x:row>
    <x:row r="385">
      <x:c r="A385" t="n">
        <x:v>9</x:v>
      </x:c>
      <x:c r="B385" t="n">
        <x:v>14</x:v>
      </x:c>
      <x:c r="C385" t="n">
        <x:v>9</x:v>
      </x:c>
      <x:c r="D385" t="n">
        <x:f>MAX(10,ROUNDDOWN((('Calculator'!$B$10+A385)*SQRT('Calculator'!$B$11+B385)*SQRT('Calculator'!$B$12+C385)*0.59740001^2)/10,0))</x:f>
        <x:v>2305</x:v>
      </x:c>
      <x:c r="E385" t="n">
        <x:f>MAX(10,ROUNDDOWN((('Calculator'!$B$10+A385)*SQRT('Calculator'!$B$11+B385)*SQRT('Calculator'!$B$12+C385)*0.667934^2)/10,0))</x:f>
        <x:v>2882</x:v>
      </x:c>
      <x:c r="F385" t="n">
        <x:f>--AND(A385&gt;='Calculator'!$B$5,B385&gt;='Calculator'!$B$5,C385&gt;='Calculator'!$B$5)</x:f>
        <x:v>1</x:v>
      </x:c>
      <x:c r="G385" t="n">
        <x:f>--AND(A385+'Calculator'!$B$6&gt;=15,B385+'Calculator'!$B$6&gt;=15,C385+'Calculator'!$B$6&gt;=15)</x:f>
        <x:v>0</x:v>
      </x:c>
      <x:c r="H385" t="n">
        <x:f>--AND(F385=1,D385='Calculator'!$B$4)</x:f>
        <x:v>0</x:v>
      </x:c>
      <x:c r="I385" t="n">
        <x:f>--AND(H385=1,G385=1)</x:f>
        <x:v>0</x:v>
      </x:c>
      <x:c r="J385" t="n">
        <x:f>--AND(F385=1,E385='Calculator'!$B$4)</x:f>
        <x:v>0</x:v>
      </x:c>
      <x:c r="K385" t="n">
        <x:f>--AND(J385=1,G385=1)</x:f>
        <x:v>0</x:v>
      </x:c>
      <x:c r="L385" t="str">
        <x:f>A385&amp;"/"&amp;B385&amp;"/"&amp;C385</x:f>
        <x:v>9/14/9</x:v>
      </x:c>
      <x:c r="M385" t="str">
        <x:f>MIN(15,A385+'Calculator'!$B$6)&amp;"/"&amp;MIN(15,B385+'Calculator'!$B$6)&amp;"/"&amp;MIN(15,C385+'Calculator'!$B$6)</x:f>
        <x:v>11/15/11</x:v>
      </x:c>
    </x:row>
    <x:row r="386">
      <x:c r="A386" t="n">
        <x:v>9</x:v>
      </x:c>
      <x:c r="B386" t="n">
        <x:v>14</x:v>
      </x:c>
      <x:c r="C386" t="n">
        <x:v>10</x:v>
      </x:c>
      <x:c r="D386" t="n">
        <x:f>MAX(10,ROUNDDOWN((('Calculator'!$B$10+A386)*SQRT('Calculator'!$B$11+B386)*SQRT('Calculator'!$B$12+C386)*0.59740001^2)/10,0))</x:f>
        <x:v>2310</x:v>
      </x:c>
      <x:c r="E386" t="n">
        <x:f>MAX(10,ROUNDDOWN((('Calculator'!$B$10+A386)*SQRT('Calculator'!$B$11+B386)*SQRT('Calculator'!$B$12+C386)*0.667934^2)/10,0))</x:f>
        <x:v>2888</x:v>
      </x:c>
      <x:c r="F386" t="n">
        <x:f>--AND(A386&gt;='Calculator'!$B$5,B386&gt;='Calculator'!$B$5,C386&gt;='Calculator'!$B$5)</x:f>
        <x:v>1</x:v>
      </x:c>
      <x:c r="G386" t="n">
        <x:f>--AND(A386+'Calculator'!$B$6&gt;=15,B386+'Calculator'!$B$6&gt;=15,C386+'Calculator'!$B$6&gt;=15)</x:f>
        <x:v>0</x:v>
      </x:c>
      <x:c r="H386" t="n">
        <x:f>--AND(F386=1,D386='Calculator'!$B$4)</x:f>
        <x:v>0</x:v>
      </x:c>
      <x:c r="I386" t="n">
        <x:f>--AND(H386=1,G386=1)</x:f>
        <x:v>0</x:v>
      </x:c>
      <x:c r="J386" t="n">
        <x:f>--AND(F386=1,E386='Calculator'!$B$4)</x:f>
        <x:v>0</x:v>
      </x:c>
      <x:c r="K386" t="n">
        <x:f>--AND(J386=1,G386=1)</x:f>
        <x:v>0</x:v>
      </x:c>
      <x:c r="L386" t="str">
        <x:f>A386&amp;"/"&amp;B386&amp;"/"&amp;C386</x:f>
        <x:v>9/14/10</x:v>
      </x:c>
      <x:c r="M386" t="str">
        <x:f>MIN(15,A386+'Calculator'!$B$6)&amp;"/"&amp;MIN(15,B386+'Calculator'!$B$6)&amp;"/"&amp;MIN(15,C386+'Calculator'!$B$6)</x:f>
        <x:v>11/15/12</x:v>
      </x:c>
    </x:row>
    <x:row r="387">
      <x:c r="A387" t="n">
        <x:v>9</x:v>
      </x:c>
      <x:c r="B387" t="n">
        <x:v>14</x:v>
      </x:c>
      <x:c r="C387" t="n">
        <x:v>11</x:v>
      </x:c>
      <x:c r="D387" t="n">
        <x:f>MAX(10,ROUNDDOWN((('Calculator'!$B$10+A387)*SQRT('Calculator'!$B$11+B387)*SQRT('Calculator'!$B$12+C387)*0.59740001^2)/10,0))</x:f>
        <x:v>2315</x:v>
      </x:c>
      <x:c r="E387" t="n">
        <x:f>MAX(10,ROUNDDOWN((('Calculator'!$B$10+A387)*SQRT('Calculator'!$B$11+B387)*SQRT('Calculator'!$B$12+C387)*0.667934^2)/10,0))</x:f>
        <x:v>2894</x:v>
      </x:c>
      <x:c r="F387" t="n">
        <x:f>--AND(A387&gt;='Calculator'!$B$5,B387&gt;='Calculator'!$B$5,C387&gt;='Calculator'!$B$5)</x:f>
        <x:v>1</x:v>
      </x:c>
      <x:c r="G387" t="n">
        <x:f>--AND(A387+'Calculator'!$B$6&gt;=15,B387+'Calculator'!$B$6&gt;=15,C387+'Calculator'!$B$6&gt;=15)</x:f>
        <x:v>0</x:v>
      </x:c>
      <x:c r="H387" t="n">
        <x:f>--AND(F387=1,D387='Calculator'!$B$4)</x:f>
        <x:v>0</x:v>
      </x:c>
      <x:c r="I387" t="n">
        <x:f>--AND(H387=1,G387=1)</x:f>
        <x:v>0</x:v>
      </x:c>
      <x:c r="J387" t="n">
        <x:f>--AND(F387=1,E387='Calculator'!$B$4)</x:f>
        <x:v>0</x:v>
      </x:c>
      <x:c r="K387" t="n">
        <x:f>--AND(J387=1,G387=1)</x:f>
        <x:v>0</x:v>
      </x:c>
      <x:c r="L387" t="str">
        <x:f>A387&amp;"/"&amp;B387&amp;"/"&amp;C387</x:f>
        <x:v>9/14/11</x:v>
      </x:c>
      <x:c r="M387" t="str">
        <x:f>MIN(15,A387+'Calculator'!$B$6)&amp;"/"&amp;MIN(15,B387+'Calculator'!$B$6)&amp;"/"&amp;MIN(15,C387+'Calculator'!$B$6)</x:f>
        <x:v>11/15/13</x:v>
      </x:c>
    </x:row>
    <x:row r="388">
      <x:c r="A388" t="n">
        <x:v>9</x:v>
      </x:c>
      <x:c r="B388" t="n">
        <x:v>14</x:v>
      </x:c>
      <x:c r="C388" t="n">
        <x:v>12</x:v>
      </x:c>
      <x:c r="D388" t="n">
        <x:f>MAX(10,ROUNDDOWN((('Calculator'!$B$10+A388)*SQRT('Calculator'!$B$11+B388)*SQRT('Calculator'!$B$12+C388)*0.59740001^2)/10,0))</x:f>
        <x:v>2320</x:v>
      </x:c>
      <x:c r="E388" t="n">
        <x:f>MAX(10,ROUNDDOWN((('Calculator'!$B$10+A388)*SQRT('Calculator'!$B$11+B388)*SQRT('Calculator'!$B$12+C388)*0.667934^2)/10,0))</x:f>
        <x:v>2901</x:v>
      </x:c>
      <x:c r="F388" t="n">
        <x:f>--AND(A388&gt;='Calculator'!$B$5,B388&gt;='Calculator'!$B$5,C388&gt;='Calculator'!$B$5)</x:f>
        <x:v>1</x:v>
      </x:c>
      <x:c r="G388" t="n">
        <x:f>--AND(A388+'Calculator'!$B$6&gt;=15,B388+'Calculator'!$B$6&gt;=15,C388+'Calculator'!$B$6&gt;=15)</x:f>
        <x:v>0</x:v>
      </x:c>
      <x:c r="H388" t="n">
        <x:f>--AND(F388=1,D388='Calculator'!$B$4)</x:f>
        <x:v>0</x:v>
      </x:c>
      <x:c r="I388" t="n">
        <x:f>--AND(H388=1,G388=1)</x:f>
        <x:v>0</x:v>
      </x:c>
      <x:c r="J388" t="n">
        <x:f>--AND(F388=1,E388='Calculator'!$B$4)</x:f>
        <x:v>0</x:v>
      </x:c>
      <x:c r="K388" t="n">
        <x:f>--AND(J388=1,G388=1)</x:f>
        <x:v>0</x:v>
      </x:c>
      <x:c r="L388" t="str">
        <x:f>A388&amp;"/"&amp;B388&amp;"/"&amp;C388</x:f>
        <x:v>9/14/12</x:v>
      </x:c>
      <x:c r="M388" t="str">
        <x:f>MIN(15,A388+'Calculator'!$B$6)&amp;"/"&amp;MIN(15,B388+'Calculator'!$B$6)&amp;"/"&amp;MIN(15,C388+'Calculator'!$B$6)</x:f>
        <x:v>11/15/14</x:v>
      </x:c>
    </x:row>
    <x:row r="389">
      <x:c r="A389" t="n">
        <x:v>9</x:v>
      </x:c>
      <x:c r="B389" t="n">
        <x:v>14</x:v>
      </x:c>
      <x:c r="C389" t="n">
        <x:v>13</x:v>
      </x:c>
      <x:c r="D389" t="n">
        <x:f>MAX(10,ROUNDDOWN((('Calculator'!$B$10+A389)*SQRT('Calculator'!$B$11+B389)*SQRT('Calculator'!$B$12+C389)*0.59740001^2)/10,0))</x:f>
        <x:v>2326</x:v>
      </x:c>
      <x:c r="E389" t="n">
        <x:f>MAX(10,ROUNDDOWN((('Calculator'!$B$10+A389)*SQRT('Calculator'!$B$11+B389)*SQRT('Calculator'!$B$12+C389)*0.667934^2)/10,0))</x:f>
        <x:v>2907</x:v>
      </x:c>
      <x:c r="F389" t="n">
        <x:f>--AND(A389&gt;='Calculator'!$B$5,B389&gt;='Calculator'!$B$5,C389&gt;='Calculator'!$B$5)</x:f>
        <x:v>1</x:v>
      </x:c>
      <x:c r="G389" t="n">
        <x:f>--AND(A389+'Calculator'!$B$6&gt;=15,B389+'Calculator'!$B$6&gt;=15,C389+'Calculator'!$B$6&gt;=15)</x:f>
        <x:v>0</x:v>
      </x:c>
      <x:c r="H389" t="n">
        <x:f>--AND(F389=1,D389='Calculator'!$B$4)</x:f>
        <x:v>0</x:v>
      </x:c>
      <x:c r="I389" t="n">
        <x:f>--AND(H389=1,G389=1)</x:f>
        <x:v>0</x:v>
      </x:c>
      <x:c r="J389" t="n">
        <x:f>--AND(F389=1,E389='Calculator'!$B$4)</x:f>
        <x:v>0</x:v>
      </x:c>
      <x:c r="K389" t="n">
        <x:f>--AND(J389=1,G389=1)</x:f>
        <x:v>0</x:v>
      </x:c>
      <x:c r="L389" t="str">
        <x:f>A389&amp;"/"&amp;B389&amp;"/"&amp;C389</x:f>
        <x:v>9/14/13</x:v>
      </x:c>
      <x:c r="M389" t="str">
        <x:f>MIN(15,A389+'Calculator'!$B$6)&amp;"/"&amp;MIN(15,B389+'Calculator'!$B$6)&amp;"/"&amp;MIN(15,C389+'Calculator'!$B$6)</x:f>
        <x:v>11/15/15</x:v>
      </x:c>
    </x:row>
    <x:row r="390">
      <x:c r="A390" t="n">
        <x:v>9</x:v>
      </x:c>
      <x:c r="B390" t="n">
        <x:v>14</x:v>
      </x:c>
      <x:c r="C390" t="n">
        <x:v>14</x:v>
      </x:c>
      <x:c r="D390" t="n">
        <x:f>MAX(10,ROUNDDOWN((('Calculator'!$B$10+A390)*SQRT('Calculator'!$B$11+B390)*SQRT('Calculator'!$B$12+C390)*0.59740001^2)/10,0))</x:f>
        <x:v>2331</x:v>
      </x:c>
      <x:c r="E390" t="n">
        <x:f>MAX(10,ROUNDDOWN((('Calculator'!$B$10+A390)*SQRT('Calculator'!$B$11+B390)*SQRT('Calculator'!$B$12+C390)*0.667934^2)/10,0))</x:f>
        <x:v>2914</x:v>
      </x:c>
      <x:c r="F390" t="n">
        <x:f>--AND(A390&gt;='Calculator'!$B$5,B390&gt;='Calculator'!$B$5,C390&gt;='Calculator'!$B$5)</x:f>
        <x:v>1</x:v>
      </x:c>
      <x:c r="G390" t="n">
        <x:f>--AND(A390+'Calculator'!$B$6&gt;=15,B390+'Calculator'!$B$6&gt;=15,C390+'Calculator'!$B$6&gt;=15)</x:f>
        <x:v>0</x:v>
      </x:c>
      <x:c r="H390" t="n">
        <x:f>--AND(F390=1,D390='Calculator'!$B$4)</x:f>
        <x:v>0</x:v>
      </x:c>
      <x:c r="I390" t="n">
        <x:f>--AND(H390=1,G390=1)</x:f>
        <x:v>0</x:v>
      </x:c>
      <x:c r="J390" t="n">
        <x:f>--AND(F390=1,E390='Calculator'!$B$4)</x:f>
        <x:v>0</x:v>
      </x:c>
      <x:c r="K390" t="n">
        <x:f>--AND(J390=1,G390=1)</x:f>
        <x:v>0</x:v>
      </x:c>
      <x:c r="L390" t="str">
        <x:f>A390&amp;"/"&amp;B390&amp;"/"&amp;C390</x:f>
        <x:v>9/14/14</x:v>
      </x:c>
      <x:c r="M390" t="str">
        <x:f>MIN(15,A390+'Calculator'!$B$6)&amp;"/"&amp;MIN(15,B390+'Calculator'!$B$6)&amp;"/"&amp;MIN(15,C390+'Calculator'!$B$6)</x:f>
        <x:v>11/15/15</x:v>
      </x:c>
    </x:row>
    <x:row r="391">
      <x:c r="A391" t="n">
        <x:v>9</x:v>
      </x:c>
      <x:c r="B391" t="n">
        <x:v>14</x:v>
      </x:c>
      <x:c r="C391" t="n">
        <x:v>15</x:v>
      </x:c>
      <x:c r="D391" t="n">
        <x:f>MAX(10,ROUNDDOWN((('Calculator'!$B$10+A391)*SQRT('Calculator'!$B$11+B391)*SQRT('Calculator'!$B$12+C391)*0.59740001^2)/10,0))</x:f>
        <x:v>2336</x:v>
      </x:c>
      <x:c r="E391" t="n">
        <x:f>MAX(10,ROUNDDOWN((('Calculator'!$B$10+A391)*SQRT('Calculator'!$B$11+B391)*SQRT('Calculator'!$B$12+C391)*0.667934^2)/10,0))</x:f>
        <x:v>2920</x:v>
      </x:c>
      <x:c r="F391" t="n">
        <x:f>--AND(A391&gt;='Calculator'!$B$5,B391&gt;='Calculator'!$B$5,C391&gt;='Calculator'!$B$5)</x:f>
        <x:v>1</x:v>
      </x:c>
      <x:c r="G391" t="n">
        <x:f>--AND(A391+'Calculator'!$B$6&gt;=15,B391+'Calculator'!$B$6&gt;=15,C391+'Calculator'!$B$6&gt;=15)</x:f>
        <x:v>0</x:v>
      </x:c>
      <x:c r="H391" t="n">
        <x:f>--AND(F391=1,D391='Calculator'!$B$4)</x:f>
        <x:v>0</x:v>
      </x:c>
      <x:c r="I391" t="n">
        <x:f>--AND(H391=1,G391=1)</x:f>
        <x:v>0</x:v>
      </x:c>
      <x:c r="J391" t="n">
        <x:f>--AND(F391=1,E391='Calculator'!$B$4)</x:f>
        <x:v>0</x:v>
      </x:c>
      <x:c r="K391" t="n">
        <x:f>--AND(J391=1,G391=1)</x:f>
        <x:v>0</x:v>
      </x:c>
      <x:c r="L391" t="str">
        <x:f>A391&amp;"/"&amp;B391&amp;"/"&amp;C391</x:f>
        <x:v>9/14/15</x:v>
      </x:c>
      <x:c r="M391" t="str">
        <x:f>MIN(15,A391+'Calculator'!$B$6)&amp;"/"&amp;MIN(15,B391+'Calculator'!$B$6)&amp;"/"&amp;MIN(15,C391+'Calculator'!$B$6)</x:f>
        <x:v>11/15/15</x:v>
      </x:c>
    </x:row>
    <x:row r="392">
      <x:c r="A392" t="n">
        <x:v>9</x:v>
      </x:c>
      <x:c r="B392" t="n">
        <x:v>15</x:v>
      </x:c>
      <x:c r="C392" t="n">
        <x:v>6</x:v>
      </x:c>
      <x:c r="D392" t="n">
        <x:f>MAX(10,ROUNDDOWN((('Calculator'!$B$10+A392)*SQRT('Calculator'!$B$11+B392)*SQRT('Calculator'!$B$12+C392)*0.59740001^2)/10,0))</x:f>
        <x:v>2295</x:v>
      </x:c>
      <x:c r="E392" t="n">
        <x:f>MAX(10,ROUNDDOWN((('Calculator'!$B$10+A392)*SQRT('Calculator'!$B$11+B392)*SQRT('Calculator'!$B$12+C392)*0.667934^2)/10,0))</x:f>
        <x:v>2869</x:v>
      </x:c>
      <x:c r="F392" t="n">
        <x:f>--AND(A392&gt;='Calculator'!$B$5,B392&gt;='Calculator'!$B$5,C392&gt;='Calculator'!$B$5)</x:f>
        <x:v>1</x:v>
      </x:c>
      <x:c r="G392" t="n">
        <x:f>--AND(A392+'Calculator'!$B$6&gt;=15,B392+'Calculator'!$B$6&gt;=15,C392+'Calculator'!$B$6&gt;=15)</x:f>
        <x:v>0</x:v>
      </x:c>
      <x:c r="H392" t="n">
        <x:f>--AND(F392=1,D392='Calculator'!$B$4)</x:f>
        <x:v>0</x:v>
      </x:c>
      <x:c r="I392" t="n">
        <x:f>--AND(H392=1,G392=1)</x:f>
        <x:v>0</x:v>
      </x:c>
      <x:c r="J392" t="n">
        <x:f>--AND(F392=1,E392='Calculator'!$B$4)</x:f>
        <x:v>0</x:v>
      </x:c>
      <x:c r="K392" t="n">
        <x:f>--AND(J392=1,G392=1)</x:f>
        <x:v>0</x:v>
      </x:c>
      <x:c r="L392" t="str">
        <x:f>A392&amp;"/"&amp;B392&amp;"/"&amp;C392</x:f>
        <x:v>9/15/6</x:v>
      </x:c>
      <x:c r="M392" t="str">
        <x:f>MIN(15,A392+'Calculator'!$B$6)&amp;"/"&amp;MIN(15,B392+'Calculator'!$B$6)&amp;"/"&amp;MIN(15,C392+'Calculator'!$B$6)</x:f>
        <x:v>11/15/8</x:v>
      </x:c>
    </x:row>
    <x:row r="393">
      <x:c r="A393" t="n">
        <x:v>9</x:v>
      </x:c>
      <x:c r="B393" t="n">
        <x:v>15</x:v>
      </x:c>
      <x:c r="C393" t="n">
        <x:v>7</x:v>
      </x:c>
      <x:c r="D393" t="n">
        <x:f>MAX(10,ROUNDDOWN((('Calculator'!$B$10+A393)*SQRT('Calculator'!$B$11+B393)*SQRT('Calculator'!$B$12+C393)*0.59740001^2)/10,0))</x:f>
        <x:v>2301</x:v>
      </x:c>
      <x:c r="E393" t="n">
        <x:f>MAX(10,ROUNDDOWN((('Calculator'!$B$10+A393)*SQRT('Calculator'!$B$11+B393)*SQRT('Calculator'!$B$12+C393)*0.667934^2)/10,0))</x:f>
        <x:v>2876</x:v>
      </x:c>
      <x:c r="F393" t="n">
        <x:f>--AND(A393&gt;='Calculator'!$B$5,B393&gt;='Calculator'!$B$5,C393&gt;='Calculator'!$B$5)</x:f>
        <x:v>1</x:v>
      </x:c>
      <x:c r="G393" t="n">
        <x:f>--AND(A393+'Calculator'!$B$6&gt;=15,B393+'Calculator'!$B$6&gt;=15,C393+'Calculator'!$B$6&gt;=15)</x:f>
        <x:v>0</x:v>
      </x:c>
      <x:c r="H393" t="n">
        <x:f>--AND(F393=1,D393='Calculator'!$B$4)</x:f>
        <x:v>0</x:v>
      </x:c>
      <x:c r="I393" t="n">
        <x:f>--AND(H393=1,G393=1)</x:f>
        <x:v>0</x:v>
      </x:c>
      <x:c r="J393" t="n">
        <x:f>--AND(F393=1,E393='Calculator'!$B$4)</x:f>
        <x:v>0</x:v>
      </x:c>
      <x:c r="K393" t="n">
        <x:f>--AND(J393=1,G393=1)</x:f>
        <x:v>0</x:v>
      </x:c>
      <x:c r="L393" t="str">
        <x:f>A393&amp;"/"&amp;B393&amp;"/"&amp;C393</x:f>
        <x:v>9/15/7</x:v>
      </x:c>
      <x:c r="M393" t="str">
        <x:f>MIN(15,A393+'Calculator'!$B$6)&amp;"/"&amp;MIN(15,B393+'Calculator'!$B$6)&amp;"/"&amp;MIN(15,C393+'Calculator'!$B$6)</x:f>
        <x:v>11/15/9</x:v>
      </x:c>
    </x:row>
    <x:row r="394">
      <x:c r="A394" t="n">
        <x:v>9</x:v>
      </x:c>
      <x:c r="B394" t="n">
        <x:v>15</x:v>
      </x:c>
      <x:c r="C394" t="n">
        <x:v>8</x:v>
      </x:c>
      <x:c r="D394" t="n">
        <x:f>MAX(10,ROUNDDOWN((('Calculator'!$B$10+A394)*SQRT('Calculator'!$B$11+B394)*SQRT('Calculator'!$B$12+C394)*0.59740001^2)/10,0))</x:f>
        <x:v>2306</x:v>
      </x:c>
      <x:c r="E394" t="n">
        <x:f>MAX(10,ROUNDDOWN((('Calculator'!$B$10+A394)*SQRT('Calculator'!$B$11+B394)*SQRT('Calculator'!$B$12+C394)*0.667934^2)/10,0))</x:f>
        <x:v>2882</x:v>
      </x:c>
      <x:c r="F394" t="n">
        <x:f>--AND(A394&gt;='Calculator'!$B$5,B394&gt;='Calculator'!$B$5,C394&gt;='Calculator'!$B$5)</x:f>
        <x:v>1</x:v>
      </x:c>
      <x:c r="G394" t="n">
        <x:f>--AND(A394+'Calculator'!$B$6&gt;=15,B394+'Calculator'!$B$6&gt;=15,C394+'Calculator'!$B$6&gt;=15)</x:f>
        <x:v>0</x:v>
      </x:c>
      <x:c r="H394" t="n">
        <x:f>--AND(F394=1,D394='Calculator'!$B$4)</x:f>
        <x:v>0</x:v>
      </x:c>
      <x:c r="I394" t="n">
        <x:f>--AND(H394=1,G394=1)</x:f>
        <x:v>0</x:v>
      </x:c>
      <x:c r="J394" t="n">
        <x:f>--AND(F394=1,E394='Calculator'!$B$4)</x:f>
        <x:v>0</x:v>
      </x:c>
      <x:c r="K394" t="n">
        <x:f>--AND(J394=1,G394=1)</x:f>
        <x:v>0</x:v>
      </x:c>
      <x:c r="L394" t="str">
        <x:f>A394&amp;"/"&amp;B394&amp;"/"&amp;C394</x:f>
        <x:v>9/15/8</x:v>
      </x:c>
      <x:c r="M394" t="str">
        <x:f>MIN(15,A394+'Calculator'!$B$6)&amp;"/"&amp;MIN(15,B394+'Calculator'!$B$6)&amp;"/"&amp;MIN(15,C394+'Calculator'!$B$6)</x:f>
        <x:v>11/15/10</x:v>
      </x:c>
    </x:row>
    <x:row r="395">
      <x:c r="A395" t="n">
        <x:v>9</x:v>
      </x:c>
      <x:c r="B395" t="n">
        <x:v>15</x:v>
      </x:c>
      <x:c r="C395" t="n">
        <x:v>9</x:v>
      </x:c>
      <x:c r="D395" t="n">
        <x:f>MAX(10,ROUNDDOWN((('Calculator'!$B$10+A395)*SQRT('Calculator'!$B$11+B395)*SQRT('Calculator'!$B$12+C395)*0.59740001^2)/10,0))</x:f>
        <x:v>2311</x:v>
      </x:c>
      <x:c r="E395" t="n">
        <x:f>MAX(10,ROUNDDOWN((('Calculator'!$B$10+A395)*SQRT('Calculator'!$B$11+B395)*SQRT('Calculator'!$B$12+C395)*0.667934^2)/10,0))</x:f>
        <x:v>2889</x:v>
      </x:c>
      <x:c r="F395" t="n">
        <x:f>--AND(A395&gt;='Calculator'!$B$5,B395&gt;='Calculator'!$B$5,C395&gt;='Calculator'!$B$5)</x:f>
        <x:v>1</x:v>
      </x:c>
      <x:c r="G395" t="n">
        <x:f>--AND(A395+'Calculator'!$B$6&gt;=15,B395+'Calculator'!$B$6&gt;=15,C395+'Calculator'!$B$6&gt;=15)</x:f>
        <x:v>0</x:v>
      </x:c>
      <x:c r="H395" t="n">
        <x:f>--AND(F395=1,D395='Calculator'!$B$4)</x:f>
        <x:v>0</x:v>
      </x:c>
      <x:c r="I395" t="n">
        <x:f>--AND(H395=1,G395=1)</x:f>
        <x:v>0</x:v>
      </x:c>
      <x:c r="J395" t="n">
        <x:f>--AND(F395=1,E395='Calculator'!$B$4)</x:f>
        <x:v>0</x:v>
      </x:c>
      <x:c r="K395" t="n">
        <x:f>--AND(J395=1,G395=1)</x:f>
        <x:v>0</x:v>
      </x:c>
      <x:c r="L395" t="str">
        <x:f>A395&amp;"/"&amp;B395&amp;"/"&amp;C395</x:f>
        <x:v>9/15/9</x:v>
      </x:c>
      <x:c r="M395" t="str">
        <x:f>MIN(15,A395+'Calculator'!$B$6)&amp;"/"&amp;MIN(15,B395+'Calculator'!$B$6)&amp;"/"&amp;MIN(15,C395+'Calculator'!$B$6)</x:f>
        <x:v>11/15/11</x:v>
      </x:c>
    </x:row>
    <x:row r="396">
      <x:c r="A396" t="n">
        <x:v>9</x:v>
      </x:c>
      <x:c r="B396" t="n">
        <x:v>15</x:v>
      </x:c>
      <x:c r="C396" t="n">
        <x:v>10</x:v>
      </x:c>
      <x:c r="D396" t="n">
        <x:f>MAX(10,ROUNDDOWN((('Calculator'!$B$10+A396)*SQRT('Calculator'!$B$11+B396)*SQRT('Calculator'!$B$12+C396)*0.59740001^2)/10,0))</x:f>
        <x:v>2316</x:v>
      </x:c>
      <x:c r="E396" t="n">
        <x:f>MAX(10,ROUNDDOWN((('Calculator'!$B$10+A396)*SQRT('Calculator'!$B$11+B396)*SQRT('Calculator'!$B$12+C396)*0.667934^2)/10,0))</x:f>
        <x:v>2895</x:v>
      </x:c>
      <x:c r="F396" t="n">
        <x:f>--AND(A396&gt;='Calculator'!$B$5,B396&gt;='Calculator'!$B$5,C396&gt;='Calculator'!$B$5)</x:f>
        <x:v>1</x:v>
      </x:c>
      <x:c r="G396" t="n">
        <x:f>--AND(A396+'Calculator'!$B$6&gt;=15,B396+'Calculator'!$B$6&gt;=15,C396+'Calculator'!$B$6&gt;=15)</x:f>
        <x:v>0</x:v>
      </x:c>
      <x:c r="H396" t="n">
        <x:f>--AND(F396=1,D396='Calculator'!$B$4)</x:f>
        <x:v>0</x:v>
      </x:c>
      <x:c r="I396" t="n">
        <x:f>--AND(H396=1,G396=1)</x:f>
        <x:v>0</x:v>
      </x:c>
      <x:c r="J396" t="n">
        <x:f>--AND(F396=1,E396='Calculator'!$B$4)</x:f>
        <x:v>0</x:v>
      </x:c>
      <x:c r="K396" t="n">
        <x:f>--AND(J396=1,G396=1)</x:f>
        <x:v>0</x:v>
      </x:c>
      <x:c r="L396" t="str">
        <x:f>A396&amp;"/"&amp;B396&amp;"/"&amp;C396</x:f>
        <x:v>9/15/10</x:v>
      </x:c>
      <x:c r="M396" t="str">
        <x:f>MIN(15,A396+'Calculator'!$B$6)&amp;"/"&amp;MIN(15,B396+'Calculator'!$B$6)&amp;"/"&amp;MIN(15,C396+'Calculator'!$B$6)</x:f>
        <x:v>11/15/12</x:v>
      </x:c>
    </x:row>
    <x:row r="397">
      <x:c r="A397" t="n">
        <x:v>9</x:v>
      </x:c>
      <x:c r="B397" t="n">
        <x:v>15</x:v>
      </x:c>
      <x:c r="C397" t="n">
        <x:v>11</x:v>
      </x:c>
      <x:c r="D397" t="n">
        <x:f>MAX(10,ROUNDDOWN((('Calculator'!$B$10+A397)*SQRT('Calculator'!$B$11+B397)*SQRT('Calculator'!$B$12+C397)*0.59740001^2)/10,0))</x:f>
        <x:v>2321</x:v>
      </x:c>
      <x:c r="E397" t="n">
        <x:f>MAX(10,ROUNDDOWN((('Calculator'!$B$10+A397)*SQRT('Calculator'!$B$11+B397)*SQRT('Calculator'!$B$12+C397)*0.667934^2)/10,0))</x:f>
        <x:v>2902</x:v>
      </x:c>
      <x:c r="F397" t="n">
        <x:f>--AND(A397&gt;='Calculator'!$B$5,B397&gt;='Calculator'!$B$5,C397&gt;='Calculator'!$B$5)</x:f>
        <x:v>1</x:v>
      </x:c>
      <x:c r="G397" t="n">
        <x:f>--AND(A397+'Calculator'!$B$6&gt;=15,B397+'Calculator'!$B$6&gt;=15,C397+'Calculator'!$B$6&gt;=15)</x:f>
        <x:v>0</x:v>
      </x:c>
      <x:c r="H397" t="n">
        <x:f>--AND(F397=1,D397='Calculator'!$B$4)</x:f>
        <x:v>0</x:v>
      </x:c>
      <x:c r="I397" t="n">
        <x:f>--AND(H397=1,G397=1)</x:f>
        <x:v>0</x:v>
      </x:c>
      <x:c r="J397" t="n">
        <x:f>--AND(F397=1,E397='Calculator'!$B$4)</x:f>
        <x:v>0</x:v>
      </x:c>
      <x:c r="K397" t="n">
        <x:f>--AND(J397=1,G397=1)</x:f>
        <x:v>0</x:v>
      </x:c>
      <x:c r="L397" t="str">
        <x:f>A397&amp;"/"&amp;B397&amp;"/"&amp;C397</x:f>
        <x:v>9/15/11</x:v>
      </x:c>
      <x:c r="M397" t="str">
        <x:f>MIN(15,A397+'Calculator'!$B$6)&amp;"/"&amp;MIN(15,B397+'Calculator'!$B$6)&amp;"/"&amp;MIN(15,C397+'Calculator'!$B$6)</x:f>
        <x:v>11/15/13</x:v>
      </x:c>
    </x:row>
    <x:row r="398">
      <x:c r="A398" t="n">
        <x:v>9</x:v>
      </x:c>
      <x:c r="B398" t="n">
        <x:v>15</x:v>
      </x:c>
      <x:c r="C398" t="n">
        <x:v>12</x:v>
      </x:c>
      <x:c r="D398" t="n">
        <x:f>MAX(10,ROUNDDOWN((('Calculator'!$B$10+A398)*SQRT('Calculator'!$B$11+B398)*SQRT('Calculator'!$B$12+C398)*0.59740001^2)/10,0))</x:f>
        <x:v>2326</x:v>
      </x:c>
      <x:c r="E398" t="n">
        <x:f>MAX(10,ROUNDDOWN((('Calculator'!$B$10+A398)*SQRT('Calculator'!$B$11+B398)*SQRT('Calculator'!$B$12+C398)*0.667934^2)/10,0))</x:f>
        <x:v>2908</x:v>
      </x:c>
      <x:c r="F398" t="n">
        <x:f>--AND(A398&gt;='Calculator'!$B$5,B398&gt;='Calculator'!$B$5,C398&gt;='Calculator'!$B$5)</x:f>
        <x:v>1</x:v>
      </x:c>
      <x:c r="G398" t="n">
        <x:f>--AND(A398+'Calculator'!$B$6&gt;=15,B398+'Calculator'!$B$6&gt;=15,C398+'Calculator'!$B$6&gt;=15)</x:f>
        <x:v>0</x:v>
      </x:c>
      <x:c r="H398" t="n">
        <x:f>--AND(F398=1,D398='Calculator'!$B$4)</x:f>
        <x:v>0</x:v>
      </x:c>
      <x:c r="I398" t="n">
        <x:f>--AND(H398=1,G398=1)</x:f>
        <x:v>0</x:v>
      </x:c>
      <x:c r="J398" t="n">
        <x:f>--AND(F398=1,E398='Calculator'!$B$4)</x:f>
        <x:v>0</x:v>
      </x:c>
      <x:c r="K398" t="n">
        <x:f>--AND(J398=1,G398=1)</x:f>
        <x:v>0</x:v>
      </x:c>
      <x:c r="L398" t="str">
        <x:f>A398&amp;"/"&amp;B398&amp;"/"&amp;C398</x:f>
        <x:v>9/15/12</x:v>
      </x:c>
      <x:c r="M398" t="str">
        <x:f>MIN(15,A398+'Calculator'!$B$6)&amp;"/"&amp;MIN(15,B398+'Calculator'!$B$6)&amp;"/"&amp;MIN(15,C398+'Calculator'!$B$6)</x:f>
        <x:v>11/15/14</x:v>
      </x:c>
    </x:row>
    <x:row r="399">
      <x:c r="A399" t="n">
        <x:v>9</x:v>
      </x:c>
      <x:c r="B399" t="n">
        <x:v>15</x:v>
      </x:c>
      <x:c r="C399" t="n">
        <x:v>13</x:v>
      </x:c>
      <x:c r="D399" t="n">
        <x:f>MAX(10,ROUNDDOWN((('Calculator'!$B$10+A399)*SQRT('Calculator'!$B$11+B399)*SQRT('Calculator'!$B$12+C399)*0.59740001^2)/10,0))</x:f>
        <x:v>2332</x:v>
      </x:c>
      <x:c r="E399" t="n">
        <x:f>MAX(10,ROUNDDOWN((('Calculator'!$B$10+A399)*SQRT('Calculator'!$B$11+B399)*SQRT('Calculator'!$B$12+C399)*0.667934^2)/10,0))</x:f>
        <x:v>2915</x:v>
      </x:c>
      <x:c r="F399" t="n">
        <x:f>--AND(A399&gt;='Calculator'!$B$5,B399&gt;='Calculator'!$B$5,C399&gt;='Calculator'!$B$5)</x:f>
        <x:v>1</x:v>
      </x:c>
      <x:c r="G399" t="n">
        <x:f>--AND(A399+'Calculator'!$B$6&gt;=15,B399+'Calculator'!$B$6&gt;=15,C399+'Calculator'!$B$6&gt;=15)</x:f>
        <x:v>0</x:v>
      </x:c>
      <x:c r="H399" t="n">
        <x:f>--AND(F399=1,D399='Calculator'!$B$4)</x:f>
        <x:v>0</x:v>
      </x:c>
      <x:c r="I399" t="n">
        <x:f>--AND(H399=1,G399=1)</x:f>
        <x:v>0</x:v>
      </x:c>
      <x:c r="J399" t="n">
        <x:f>--AND(F399=1,E399='Calculator'!$B$4)</x:f>
        <x:v>0</x:v>
      </x:c>
      <x:c r="K399" t="n">
        <x:f>--AND(J399=1,G399=1)</x:f>
        <x:v>0</x:v>
      </x:c>
      <x:c r="L399" t="str">
        <x:f>A399&amp;"/"&amp;B399&amp;"/"&amp;C399</x:f>
        <x:v>9/15/13</x:v>
      </x:c>
      <x:c r="M399" t="str">
        <x:f>MIN(15,A399+'Calculator'!$B$6)&amp;"/"&amp;MIN(15,B399+'Calculator'!$B$6)&amp;"/"&amp;MIN(15,C399+'Calculator'!$B$6)</x:f>
        <x:v>11/15/15</x:v>
      </x:c>
    </x:row>
    <x:row r="400">
      <x:c r="A400" t="n">
        <x:v>9</x:v>
      </x:c>
      <x:c r="B400" t="n">
        <x:v>15</x:v>
      </x:c>
      <x:c r="C400" t="n">
        <x:v>14</x:v>
      </x:c>
      <x:c r="D400" t="n">
        <x:f>MAX(10,ROUNDDOWN((('Calculator'!$B$10+A400)*SQRT('Calculator'!$B$11+B400)*SQRT('Calculator'!$B$12+C400)*0.59740001^2)/10,0))</x:f>
        <x:v>2337</x:v>
      </x:c>
      <x:c r="E400" t="n">
        <x:f>MAX(10,ROUNDDOWN((('Calculator'!$B$10+A400)*SQRT('Calculator'!$B$11+B400)*SQRT('Calculator'!$B$12+C400)*0.667934^2)/10,0))</x:f>
        <x:v>2921</x:v>
      </x:c>
      <x:c r="F400" t="n">
        <x:f>--AND(A400&gt;='Calculator'!$B$5,B400&gt;='Calculator'!$B$5,C400&gt;='Calculator'!$B$5)</x:f>
        <x:v>1</x:v>
      </x:c>
      <x:c r="G400" t="n">
        <x:f>--AND(A400+'Calculator'!$B$6&gt;=15,B400+'Calculator'!$B$6&gt;=15,C400+'Calculator'!$B$6&gt;=15)</x:f>
        <x:v>0</x:v>
      </x:c>
      <x:c r="H400" t="n">
        <x:f>--AND(F400=1,D400='Calculator'!$B$4)</x:f>
        <x:v>0</x:v>
      </x:c>
      <x:c r="I400" t="n">
        <x:f>--AND(H400=1,G400=1)</x:f>
        <x:v>0</x:v>
      </x:c>
      <x:c r="J400" t="n">
        <x:f>--AND(F400=1,E400='Calculator'!$B$4)</x:f>
        <x:v>0</x:v>
      </x:c>
      <x:c r="K400" t="n">
        <x:f>--AND(J400=1,G400=1)</x:f>
        <x:v>0</x:v>
      </x:c>
      <x:c r="L400" t="str">
        <x:f>A400&amp;"/"&amp;B400&amp;"/"&amp;C400</x:f>
        <x:v>9/15/14</x:v>
      </x:c>
      <x:c r="M400" t="str">
        <x:f>MIN(15,A400+'Calculator'!$B$6)&amp;"/"&amp;MIN(15,B400+'Calculator'!$B$6)&amp;"/"&amp;MIN(15,C400+'Calculator'!$B$6)</x:f>
        <x:v>11/15/15</x:v>
      </x:c>
    </x:row>
    <x:row r="401">
      <x:c r="A401" t="n">
        <x:v>9</x:v>
      </x:c>
      <x:c r="B401" t="n">
        <x:v>15</x:v>
      </x:c>
      <x:c r="C401" t="n">
        <x:v>15</x:v>
      </x:c>
      <x:c r="D401" t="n">
        <x:f>MAX(10,ROUNDDOWN((('Calculator'!$B$10+A401)*SQRT('Calculator'!$B$11+B401)*SQRT('Calculator'!$B$12+C401)*0.59740001^2)/10,0))</x:f>
        <x:v>2342</x:v>
      </x:c>
      <x:c r="E401" t="n">
        <x:f>MAX(10,ROUNDDOWN((('Calculator'!$B$10+A401)*SQRT('Calculator'!$B$11+B401)*SQRT('Calculator'!$B$12+C401)*0.667934^2)/10,0))</x:f>
        <x:v>2928</x:v>
      </x:c>
      <x:c r="F401" t="n">
        <x:f>--AND(A401&gt;='Calculator'!$B$5,B401&gt;='Calculator'!$B$5,C401&gt;='Calculator'!$B$5)</x:f>
        <x:v>1</x:v>
      </x:c>
      <x:c r="G401" t="n">
        <x:f>--AND(A401+'Calculator'!$B$6&gt;=15,B401+'Calculator'!$B$6&gt;=15,C401+'Calculator'!$B$6&gt;=15)</x:f>
        <x:v>0</x:v>
      </x:c>
      <x:c r="H401" t="n">
        <x:f>--AND(F401=1,D401='Calculator'!$B$4)</x:f>
        <x:v>0</x:v>
      </x:c>
      <x:c r="I401" t="n">
        <x:f>--AND(H401=1,G401=1)</x:f>
        <x:v>0</x:v>
      </x:c>
      <x:c r="J401" t="n">
        <x:f>--AND(F401=1,E401='Calculator'!$B$4)</x:f>
        <x:v>0</x:v>
      </x:c>
      <x:c r="K401" t="n">
        <x:f>--AND(J401=1,G401=1)</x:f>
        <x:v>0</x:v>
      </x:c>
      <x:c r="L401" t="str">
        <x:f>A401&amp;"/"&amp;B401&amp;"/"&amp;C401</x:f>
        <x:v>9/15/15</x:v>
      </x:c>
      <x:c r="M401" t="str">
        <x:f>MIN(15,A401+'Calculator'!$B$6)&amp;"/"&amp;MIN(15,B401+'Calculator'!$B$6)&amp;"/"&amp;MIN(15,C401+'Calculator'!$B$6)</x:f>
        <x:v>11/15/15</x:v>
      </x:c>
    </x:row>
    <x:row r="402">
      <x:c r="A402" t="n">
        <x:v>10</x:v>
      </x:c>
      <x:c r="B402" t="n">
        <x:v>6</x:v>
      </x:c>
      <x:c r="C402" t="n">
        <x:v>6</x:v>
      </x:c>
      <x:c r="D402" t="n">
        <x:f>MAX(10,ROUNDDOWN((('Calculator'!$B$10+A402)*SQRT('Calculator'!$B$11+B402)*SQRT('Calculator'!$B$12+C402)*0.59740001^2)/10,0))</x:f>
        <x:v>2249</x:v>
      </x:c>
      <x:c r="E402" t="n">
        <x:f>MAX(10,ROUNDDOWN((('Calculator'!$B$10+A402)*SQRT('Calculator'!$B$11+B402)*SQRT('Calculator'!$B$12+C402)*0.667934^2)/10,0))</x:f>
        <x:v>2812</x:v>
      </x:c>
      <x:c r="F402" t="n">
        <x:f>--AND(A402&gt;='Calculator'!$B$5,B402&gt;='Calculator'!$B$5,C402&gt;='Calculator'!$B$5)</x:f>
        <x:v>1</x:v>
      </x:c>
      <x:c r="G402" t="n">
        <x:f>--AND(A402+'Calculator'!$B$6&gt;=15,B402+'Calculator'!$B$6&gt;=15,C402+'Calculator'!$B$6&gt;=15)</x:f>
        <x:v>0</x:v>
      </x:c>
      <x:c r="H402" t="n">
        <x:f>--AND(F402=1,D402='Calculator'!$B$4)</x:f>
        <x:v>0</x:v>
      </x:c>
      <x:c r="I402" t="n">
        <x:f>--AND(H402=1,G402=1)</x:f>
        <x:v>0</x:v>
      </x:c>
      <x:c r="J402" t="n">
        <x:f>--AND(F402=1,E402='Calculator'!$B$4)</x:f>
        <x:v>0</x:v>
      </x:c>
      <x:c r="K402" t="n">
        <x:f>--AND(J402=1,G402=1)</x:f>
        <x:v>0</x:v>
      </x:c>
      <x:c r="L402" t="str">
        <x:f>A402&amp;"/"&amp;B402&amp;"/"&amp;C402</x:f>
        <x:v>10/6/6</x:v>
      </x:c>
      <x:c r="M402" t="str">
        <x:f>MIN(15,A402+'Calculator'!$B$6)&amp;"/"&amp;MIN(15,B402+'Calculator'!$B$6)&amp;"/"&amp;MIN(15,C402+'Calculator'!$B$6)</x:f>
        <x:v>12/8/8</x:v>
      </x:c>
    </x:row>
    <x:row r="403">
      <x:c r="A403" t="n">
        <x:v>10</x:v>
      </x:c>
      <x:c r="B403" t="n">
        <x:v>6</x:v>
      </x:c>
      <x:c r="C403" t="n">
        <x:v>7</x:v>
      </x:c>
      <x:c r="D403" t="n">
        <x:f>MAX(10,ROUNDDOWN((('Calculator'!$B$10+A403)*SQRT('Calculator'!$B$11+B403)*SQRT('Calculator'!$B$12+C403)*0.59740001^2)/10,0))</x:f>
        <x:v>2255</x:v>
      </x:c>
      <x:c r="E403" t="n">
        <x:f>MAX(10,ROUNDDOWN((('Calculator'!$B$10+A403)*SQRT('Calculator'!$B$11+B403)*SQRT('Calculator'!$B$12+C403)*0.667934^2)/10,0))</x:f>
        <x:v>2819</x:v>
      </x:c>
      <x:c r="F403" t="n">
        <x:f>--AND(A403&gt;='Calculator'!$B$5,B403&gt;='Calculator'!$B$5,C403&gt;='Calculator'!$B$5)</x:f>
        <x:v>1</x:v>
      </x:c>
      <x:c r="G403" t="n">
        <x:f>--AND(A403+'Calculator'!$B$6&gt;=15,B403+'Calculator'!$B$6&gt;=15,C403+'Calculator'!$B$6&gt;=15)</x:f>
        <x:v>0</x:v>
      </x:c>
      <x:c r="H403" t="n">
        <x:f>--AND(F403=1,D403='Calculator'!$B$4)</x:f>
        <x:v>0</x:v>
      </x:c>
      <x:c r="I403" t="n">
        <x:f>--AND(H403=1,G403=1)</x:f>
        <x:v>0</x:v>
      </x:c>
      <x:c r="J403" t="n">
        <x:f>--AND(F403=1,E403='Calculator'!$B$4)</x:f>
        <x:v>0</x:v>
      </x:c>
      <x:c r="K403" t="n">
        <x:f>--AND(J403=1,G403=1)</x:f>
        <x:v>0</x:v>
      </x:c>
      <x:c r="L403" t="str">
        <x:f>A403&amp;"/"&amp;B403&amp;"/"&amp;C403</x:f>
        <x:v>10/6/7</x:v>
      </x:c>
      <x:c r="M403" t="str">
        <x:f>MIN(15,A403+'Calculator'!$B$6)&amp;"/"&amp;MIN(15,B403+'Calculator'!$B$6)&amp;"/"&amp;MIN(15,C403+'Calculator'!$B$6)</x:f>
        <x:v>12/8/9</x:v>
      </x:c>
    </x:row>
    <x:row r="404">
      <x:c r="A404" t="n">
        <x:v>10</x:v>
      </x:c>
      <x:c r="B404" t="n">
        <x:v>6</x:v>
      </x:c>
      <x:c r="C404" t="n">
        <x:v>8</x:v>
      </x:c>
      <x:c r="D404" t="n">
        <x:f>MAX(10,ROUNDDOWN((('Calculator'!$B$10+A404)*SQRT('Calculator'!$B$11+B404)*SQRT('Calculator'!$B$12+C404)*0.59740001^2)/10,0))</x:f>
        <x:v>2260</x:v>
      </x:c>
      <x:c r="E404" t="n">
        <x:f>MAX(10,ROUNDDOWN((('Calculator'!$B$10+A404)*SQRT('Calculator'!$B$11+B404)*SQRT('Calculator'!$B$12+C404)*0.667934^2)/10,0))</x:f>
        <x:v>2825</x:v>
      </x:c>
      <x:c r="F404" t="n">
        <x:f>--AND(A404&gt;='Calculator'!$B$5,B404&gt;='Calculator'!$B$5,C404&gt;='Calculator'!$B$5)</x:f>
        <x:v>1</x:v>
      </x:c>
      <x:c r="G404" t="n">
        <x:f>--AND(A404+'Calculator'!$B$6&gt;=15,B404+'Calculator'!$B$6&gt;=15,C404+'Calculator'!$B$6&gt;=15)</x:f>
        <x:v>0</x:v>
      </x:c>
      <x:c r="H404" t="n">
        <x:f>--AND(F404=1,D404='Calculator'!$B$4)</x:f>
        <x:v>0</x:v>
      </x:c>
      <x:c r="I404" t="n">
        <x:f>--AND(H404=1,G404=1)</x:f>
        <x:v>0</x:v>
      </x:c>
      <x:c r="J404" t="n">
        <x:f>--AND(F404=1,E404='Calculator'!$B$4)</x:f>
        <x:v>0</x:v>
      </x:c>
      <x:c r="K404" t="n">
        <x:f>--AND(J404=1,G404=1)</x:f>
        <x:v>0</x:v>
      </x:c>
      <x:c r="L404" t="str">
        <x:f>A404&amp;"/"&amp;B404&amp;"/"&amp;C404</x:f>
        <x:v>10/6/8</x:v>
      </x:c>
      <x:c r="M404" t="str">
        <x:f>MIN(15,A404+'Calculator'!$B$6)&amp;"/"&amp;MIN(15,B404+'Calculator'!$B$6)&amp;"/"&amp;MIN(15,C404+'Calculator'!$B$6)</x:f>
        <x:v>12/8/10</x:v>
      </x:c>
    </x:row>
    <x:row r="405">
      <x:c r="A405" t="n">
        <x:v>10</x:v>
      </x:c>
      <x:c r="B405" t="n">
        <x:v>6</x:v>
      </x:c>
      <x:c r="C405" t="n">
        <x:v>9</x:v>
      </x:c>
      <x:c r="D405" t="n">
        <x:f>MAX(10,ROUNDDOWN((('Calculator'!$B$10+A405)*SQRT('Calculator'!$B$11+B405)*SQRT('Calculator'!$B$12+C405)*0.59740001^2)/10,0))</x:f>
        <x:v>2265</x:v>
      </x:c>
      <x:c r="E405" t="n">
        <x:f>MAX(10,ROUNDDOWN((('Calculator'!$B$10+A405)*SQRT('Calculator'!$B$11+B405)*SQRT('Calculator'!$B$12+C405)*0.667934^2)/10,0))</x:f>
        <x:v>2831</x:v>
      </x:c>
      <x:c r="F405" t="n">
        <x:f>--AND(A405&gt;='Calculator'!$B$5,B405&gt;='Calculator'!$B$5,C405&gt;='Calculator'!$B$5)</x:f>
        <x:v>1</x:v>
      </x:c>
      <x:c r="G405" t="n">
        <x:f>--AND(A405+'Calculator'!$B$6&gt;=15,B405+'Calculator'!$B$6&gt;=15,C405+'Calculator'!$B$6&gt;=15)</x:f>
        <x:v>0</x:v>
      </x:c>
      <x:c r="H405" t="n">
        <x:f>--AND(F405=1,D405='Calculator'!$B$4)</x:f>
        <x:v>0</x:v>
      </x:c>
      <x:c r="I405" t="n">
        <x:f>--AND(H405=1,G405=1)</x:f>
        <x:v>0</x:v>
      </x:c>
      <x:c r="J405" t="n">
        <x:f>--AND(F405=1,E405='Calculator'!$B$4)</x:f>
        <x:v>0</x:v>
      </x:c>
      <x:c r="K405" t="n">
        <x:f>--AND(J405=1,G405=1)</x:f>
        <x:v>0</x:v>
      </x:c>
      <x:c r="L405" t="str">
        <x:f>A405&amp;"/"&amp;B405&amp;"/"&amp;C405</x:f>
        <x:v>10/6/9</x:v>
      </x:c>
      <x:c r="M405" t="str">
        <x:f>MIN(15,A405+'Calculator'!$B$6)&amp;"/"&amp;MIN(15,B405+'Calculator'!$B$6)&amp;"/"&amp;MIN(15,C405+'Calculator'!$B$6)</x:f>
        <x:v>12/8/11</x:v>
      </x:c>
    </x:row>
    <x:row r="406">
      <x:c r="A406" t="n">
        <x:v>10</x:v>
      </x:c>
      <x:c r="B406" t="n">
        <x:v>6</x:v>
      </x:c>
      <x:c r="C406" t="n">
        <x:v>10</x:v>
      </x:c>
      <x:c r="D406" t="n">
        <x:f>MAX(10,ROUNDDOWN((('Calculator'!$B$10+A406)*SQRT('Calculator'!$B$11+B406)*SQRT('Calculator'!$B$12+C406)*0.59740001^2)/10,0))</x:f>
        <x:v>2270</x:v>
      </x:c>
      <x:c r="E406" t="n">
        <x:f>MAX(10,ROUNDDOWN((('Calculator'!$B$10+A406)*SQRT('Calculator'!$B$11+B406)*SQRT('Calculator'!$B$12+C406)*0.667934^2)/10,0))</x:f>
        <x:v>2838</x:v>
      </x:c>
      <x:c r="F406" t="n">
        <x:f>--AND(A406&gt;='Calculator'!$B$5,B406&gt;='Calculator'!$B$5,C406&gt;='Calculator'!$B$5)</x:f>
        <x:v>1</x:v>
      </x:c>
      <x:c r="G406" t="n">
        <x:f>--AND(A406+'Calculator'!$B$6&gt;=15,B406+'Calculator'!$B$6&gt;=15,C406+'Calculator'!$B$6&gt;=15)</x:f>
        <x:v>0</x:v>
      </x:c>
      <x:c r="H406" t="n">
        <x:f>--AND(F406=1,D406='Calculator'!$B$4)</x:f>
        <x:v>0</x:v>
      </x:c>
      <x:c r="I406" t="n">
        <x:f>--AND(H406=1,G406=1)</x:f>
        <x:v>0</x:v>
      </x:c>
      <x:c r="J406" t="n">
        <x:f>--AND(F406=1,E406='Calculator'!$B$4)</x:f>
        <x:v>0</x:v>
      </x:c>
      <x:c r="K406" t="n">
        <x:f>--AND(J406=1,G406=1)</x:f>
        <x:v>0</x:v>
      </x:c>
      <x:c r="L406" t="str">
        <x:f>A406&amp;"/"&amp;B406&amp;"/"&amp;C406</x:f>
        <x:v>10/6/10</x:v>
      </x:c>
      <x:c r="M406" t="str">
        <x:f>MIN(15,A406+'Calculator'!$B$6)&amp;"/"&amp;MIN(15,B406+'Calculator'!$B$6)&amp;"/"&amp;MIN(15,C406+'Calculator'!$B$6)</x:f>
        <x:v>12/8/12</x:v>
      </x:c>
    </x:row>
    <x:row r="407">
      <x:c r="A407" t="n">
        <x:v>10</x:v>
      </x:c>
      <x:c r="B407" t="n">
        <x:v>6</x:v>
      </x:c>
      <x:c r="C407" t="n">
        <x:v>11</x:v>
      </x:c>
      <x:c r="D407" t="n">
        <x:f>MAX(10,ROUNDDOWN((('Calculator'!$B$10+A407)*SQRT('Calculator'!$B$11+B407)*SQRT('Calculator'!$B$12+C407)*0.59740001^2)/10,0))</x:f>
        <x:v>2275</x:v>
      </x:c>
      <x:c r="E407" t="n">
        <x:f>MAX(10,ROUNDDOWN((('Calculator'!$B$10+A407)*SQRT('Calculator'!$B$11+B407)*SQRT('Calculator'!$B$12+C407)*0.667934^2)/10,0))</x:f>
        <x:v>2844</x:v>
      </x:c>
      <x:c r="F407" t="n">
        <x:f>--AND(A407&gt;='Calculator'!$B$5,B407&gt;='Calculator'!$B$5,C407&gt;='Calculator'!$B$5)</x:f>
        <x:v>1</x:v>
      </x:c>
      <x:c r="G407" t="n">
        <x:f>--AND(A407+'Calculator'!$B$6&gt;=15,B407+'Calculator'!$B$6&gt;=15,C407+'Calculator'!$B$6&gt;=15)</x:f>
        <x:v>0</x:v>
      </x:c>
      <x:c r="H407" t="n">
        <x:f>--AND(F407=1,D407='Calculator'!$B$4)</x:f>
        <x:v>0</x:v>
      </x:c>
      <x:c r="I407" t="n">
        <x:f>--AND(H407=1,G407=1)</x:f>
        <x:v>0</x:v>
      </x:c>
      <x:c r="J407" t="n">
        <x:f>--AND(F407=1,E407='Calculator'!$B$4)</x:f>
        <x:v>0</x:v>
      </x:c>
      <x:c r="K407" t="n">
        <x:f>--AND(J407=1,G407=1)</x:f>
        <x:v>0</x:v>
      </x:c>
      <x:c r="L407" t="str">
        <x:f>A407&amp;"/"&amp;B407&amp;"/"&amp;C407</x:f>
        <x:v>10/6/11</x:v>
      </x:c>
      <x:c r="M407" t="str">
        <x:f>MIN(15,A407+'Calculator'!$B$6)&amp;"/"&amp;MIN(15,B407+'Calculator'!$B$6)&amp;"/"&amp;MIN(15,C407+'Calculator'!$B$6)</x:f>
        <x:v>12/8/13</x:v>
      </x:c>
    </x:row>
    <x:row r="408">
      <x:c r="A408" t="n">
        <x:v>10</x:v>
      </x:c>
      <x:c r="B408" t="n">
        <x:v>6</x:v>
      </x:c>
      <x:c r="C408" t="n">
        <x:v>12</x:v>
      </x:c>
      <x:c r="D408" t="n">
        <x:f>MAX(10,ROUNDDOWN((('Calculator'!$B$10+A408)*SQRT('Calculator'!$B$11+B408)*SQRT('Calculator'!$B$12+C408)*0.59740001^2)/10,0))</x:f>
        <x:v>2280</x:v>
      </x:c>
      <x:c r="E408" t="n">
        <x:f>MAX(10,ROUNDDOWN((('Calculator'!$B$10+A408)*SQRT('Calculator'!$B$11+B408)*SQRT('Calculator'!$B$12+C408)*0.667934^2)/10,0))</x:f>
        <x:v>2850</x:v>
      </x:c>
      <x:c r="F408" t="n">
        <x:f>--AND(A408&gt;='Calculator'!$B$5,B408&gt;='Calculator'!$B$5,C408&gt;='Calculator'!$B$5)</x:f>
        <x:v>1</x:v>
      </x:c>
      <x:c r="G408" t="n">
        <x:f>--AND(A408+'Calculator'!$B$6&gt;=15,B408+'Calculator'!$B$6&gt;=15,C408+'Calculator'!$B$6&gt;=15)</x:f>
        <x:v>0</x:v>
      </x:c>
      <x:c r="H408" t="n">
        <x:f>--AND(F408=1,D408='Calculator'!$B$4)</x:f>
        <x:v>0</x:v>
      </x:c>
      <x:c r="I408" t="n">
        <x:f>--AND(H408=1,G408=1)</x:f>
        <x:v>0</x:v>
      </x:c>
      <x:c r="J408" t="n">
        <x:f>--AND(F408=1,E408='Calculator'!$B$4)</x:f>
        <x:v>0</x:v>
      </x:c>
      <x:c r="K408" t="n">
        <x:f>--AND(J408=1,G408=1)</x:f>
        <x:v>0</x:v>
      </x:c>
      <x:c r="L408" t="str">
        <x:f>A408&amp;"/"&amp;B408&amp;"/"&amp;C408</x:f>
        <x:v>10/6/12</x:v>
      </x:c>
      <x:c r="M408" t="str">
        <x:f>MIN(15,A408+'Calculator'!$B$6)&amp;"/"&amp;MIN(15,B408+'Calculator'!$B$6)&amp;"/"&amp;MIN(15,C408+'Calculator'!$B$6)</x:f>
        <x:v>12/8/14</x:v>
      </x:c>
    </x:row>
    <x:row r="409">
      <x:c r="A409" t="n">
        <x:v>10</x:v>
      </x:c>
      <x:c r="B409" t="n">
        <x:v>6</x:v>
      </x:c>
      <x:c r="C409" t="n">
        <x:v>13</x:v>
      </x:c>
      <x:c r="D409" t="n">
        <x:f>MAX(10,ROUNDDOWN((('Calculator'!$B$10+A409)*SQRT('Calculator'!$B$11+B409)*SQRT('Calculator'!$B$12+C409)*0.59740001^2)/10,0))</x:f>
        <x:v>2285</x:v>
      </x:c>
      <x:c r="E409" t="n">
        <x:f>MAX(10,ROUNDDOWN((('Calculator'!$B$10+A409)*SQRT('Calculator'!$B$11+B409)*SQRT('Calculator'!$B$12+C409)*0.667934^2)/10,0))</x:f>
        <x:v>2857</x:v>
      </x:c>
      <x:c r="F409" t="n">
        <x:f>--AND(A409&gt;='Calculator'!$B$5,B409&gt;='Calculator'!$B$5,C409&gt;='Calculator'!$B$5)</x:f>
        <x:v>1</x:v>
      </x:c>
      <x:c r="G409" t="n">
        <x:f>--AND(A409+'Calculator'!$B$6&gt;=15,B409+'Calculator'!$B$6&gt;=15,C409+'Calculator'!$B$6&gt;=15)</x:f>
        <x:v>0</x:v>
      </x:c>
      <x:c r="H409" t="n">
        <x:f>--AND(F409=1,D409='Calculator'!$B$4)</x:f>
        <x:v>0</x:v>
      </x:c>
      <x:c r="I409" t="n">
        <x:f>--AND(H409=1,G409=1)</x:f>
        <x:v>0</x:v>
      </x:c>
      <x:c r="J409" t="n">
        <x:f>--AND(F409=1,E409='Calculator'!$B$4)</x:f>
        <x:v>0</x:v>
      </x:c>
      <x:c r="K409" t="n">
        <x:f>--AND(J409=1,G409=1)</x:f>
        <x:v>0</x:v>
      </x:c>
      <x:c r="L409" t="str">
        <x:f>A409&amp;"/"&amp;B409&amp;"/"&amp;C409</x:f>
        <x:v>10/6/13</x:v>
      </x:c>
      <x:c r="M409" t="str">
        <x:f>MIN(15,A409+'Calculator'!$B$6)&amp;"/"&amp;MIN(15,B409+'Calculator'!$B$6)&amp;"/"&amp;MIN(15,C409+'Calculator'!$B$6)</x:f>
        <x:v>12/8/15</x:v>
      </x:c>
    </x:row>
    <x:row r="410">
      <x:c r="A410" t="n">
        <x:v>10</x:v>
      </x:c>
      <x:c r="B410" t="n">
        <x:v>6</x:v>
      </x:c>
      <x:c r="C410" t="n">
        <x:v>14</x:v>
      </x:c>
      <x:c r="D410" t="n">
        <x:f>MAX(10,ROUNDDOWN((('Calculator'!$B$10+A410)*SQRT('Calculator'!$B$11+B410)*SQRT('Calculator'!$B$12+C410)*0.59740001^2)/10,0))</x:f>
        <x:v>2290</x:v>
      </x:c>
      <x:c r="E410" t="n">
        <x:f>MAX(10,ROUNDDOWN((('Calculator'!$B$10+A410)*SQRT('Calculator'!$B$11+B410)*SQRT('Calculator'!$B$12+C410)*0.667934^2)/10,0))</x:f>
        <x:v>2863</x:v>
      </x:c>
      <x:c r="F410" t="n">
        <x:f>--AND(A410&gt;='Calculator'!$B$5,B410&gt;='Calculator'!$B$5,C410&gt;='Calculator'!$B$5)</x:f>
        <x:v>1</x:v>
      </x:c>
      <x:c r="G410" t="n">
        <x:f>--AND(A410+'Calculator'!$B$6&gt;=15,B410+'Calculator'!$B$6&gt;=15,C410+'Calculator'!$B$6&gt;=15)</x:f>
        <x:v>0</x:v>
      </x:c>
      <x:c r="H410" t="n">
        <x:f>--AND(F410=1,D410='Calculator'!$B$4)</x:f>
        <x:v>0</x:v>
      </x:c>
      <x:c r="I410" t="n">
        <x:f>--AND(H410=1,G410=1)</x:f>
        <x:v>0</x:v>
      </x:c>
      <x:c r="J410" t="n">
        <x:f>--AND(F410=1,E410='Calculator'!$B$4)</x:f>
        <x:v>0</x:v>
      </x:c>
      <x:c r="K410" t="n">
        <x:f>--AND(J410=1,G410=1)</x:f>
        <x:v>0</x:v>
      </x:c>
      <x:c r="L410" t="str">
        <x:f>A410&amp;"/"&amp;B410&amp;"/"&amp;C410</x:f>
        <x:v>10/6/14</x:v>
      </x:c>
      <x:c r="M410" t="str">
        <x:f>MIN(15,A410+'Calculator'!$B$6)&amp;"/"&amp;MIN(15,B410+'Calculator'!$B$6)&amp;"/"&amp;MIN(15,C410+'Calculator'!$B$6)</x:f>
        <x:v>12/8/15</x:v>
      </x:c>
    </x:row>
    <x:row r="411">
      <x:c r="A411" t="n">
        <x:v>10</x:v>
      </x:c>
      <x:c r="B411" t="n">
        <x:v>6</x:v>
      </x:c>
      <x:c r="C411" t="n">
        <x:v>15</x:v>
      </x:c>
      <x:c r="D411" t="n">
        <x:f>MAX(10,ROUNDDOWN((('Calculator'!$B$10+A411)*SQRT('Calculator'!$B$11+B411)*SQRT('Calculator'!$B$12+C411)*0.59740001^2)/10,0))</x:f>
        <x:v>2295</x:v>
      </x:c>
      <x:c r="E411" t="n">
        <x:f>MAX(10,ROUNDDOWN((('Calculator'!$B$10+A411)*SQRT('Calculator'!$B$11+B411)*SQRT('Calculator'!$B$12+C411)*0.667934^2)/10,0))</x:f>
        <x:v>2869</x:v>
      </x:c>
      <x:c r="F411" t="n">
        <x:f>--AND(A411&gt;='Calculator'!$B$5,B411&gt;='Calculator'!$B$5,C411&gt;='Calculator'!$B$5)</x:f>
        <x:v>1</x:v>
      </x:c>
      <x:c r="G411" t="n">
        <x:f>--AND(A411+'Calculator'!$B$6&gt;=15,B411+'Calculator'!$B$6&gt;=15,C411+'Calculator'!$B$6&gt;=15)</x:f>
        <x:v>0</x:v>
      </x:c>
      <x:c r="H411" t="n">
        <x:f>--AND(F411=1,D411='Calculator'!$B$4)</x:f>
        <x:v>0</x:v>
      </x:c>
      <x:c r="I411" t="n">
        <x:f>--AND(H411=1,G411=1)</x:f>
        <x:v>0</x:v>
      </x:c>
      <x:c r="J411" t="n">
        <x:f>--AND(F411=1,E411='Calculator'!$B$4)</x:f>
        <x:v>0</x:v>
      </x:c>
      <x:c r="K411" t="n">
        <x:f>--AND(J411=1,G411=1)</x:f>
        <x:v>0</x:v>
      </x:c>
      <x:c r="L411" t="str">
        <x:f>A411&amp;"/"&amp;B411&amp;"/"&amp;C411</x:f>
        <x:v>10/6/15</x:v>
      </x:c>
      <x:c r="M411" t="str">
        <x:f>MIN(15,A411+'Calculator'!$B$6)&amp;"/"&amp;MIN(15,B411+'Calculator'!$B$6)&amp;"/"&amp;MIN(15,C411+'Calculator'!$B$6)</x:f>
        <x:v>12/8/15</x:v>
      </x:c>
    </x:row>
    <x:row r="412">
      <x:c r="A412" t="n">
        <x:v>10</x:v>
      </x:c>
      <x:c r="B412" t="n">
        <x:v>7</x:v>
      </x:c>
      <x:c r="C412" t="n">
        <x:v>6</x:v>
      </x:c>
      <x:c r="D412" t="n">
        <x:f>MAX(10,ROUNDDOWN((('Calculator'!$B$10+A412)*SQRT('Calculator'!$B$11+B412)*SQRT('Calculator'!$B$12+C412)*0.59740001^2)/10,0))</x:f>
        <x:v>2255</x:v>
      </x:c>
      <x:c r="E412" t="n">
        <x:f>MAX(10,ROUNDDOWN((('Calculator'!$B$10+A412)*SQRT('Calculator'!$B$11+B412)*SQRT('Calculator'!$B$12+C412)*0.667934^2)/10,0))</x:f>
        <x:v>2820</x:v>
      </x:c>
      <x:c r="F412" t="n">
        <x:f>--AND(A412&gt;='Calculator'!$B$5,B412&gt;='Calculator'!$B$5,C412&gt;='Calculator'!$B$5)</x:f>
        <x:v>1</x:v>
      </x:c>
      <x:c r="G412" t="n">
        <x:f>--AND(A412+'Calculator'!$B$6&gt;=15,B412+'Calculator'!$B$6&gt;=15,C412+'Calculator'!$B$6&gt;=15)</x:f>
        <x:v>0</x:v>
      </x:c>
      <x:c r="H412" t="n">
        <x:f>--AND(F412=1,D412='Calculator'!$B$4)</x:f>
        <x:v>0</x:v>
      </x:c>
      <x:c r="I412" t="n">
        <x:f>--AND(H412=1,G412=1)</x:f>
        <x:v>0</x:v>
      </x:c>
      <x:c r="J412" t="n">
        <x:f>--AND(F412=1,E412='Calculator'!$B$4)</x:f>
        <x:v>0</x:v>
      </x:c>
      <x:c r="K412" t="n">
        <x:f>--AND(J412=1,G412=1)</x:f>
        <x:v>0</x:v>
      </x:c>
      <x:c r="L412" t="str">
        <x:f>A412&amp;"/"&amp;B412&amp;"/"&amp;C412</x:f>
        <x:v>10/7/6</x:v>
      </x:c>
      <x:c r="M412" t="str">
        <x:f>MIN(15,A412+'Calculator'!$B$6)&amp;"/"&amp;MIN(15,B412+'Calculator'!$B$6)&amp;"/"&amp;MIN(15,C412+'Calculator'!$B$6)</x:f>
        <x:v>12/9/8</x:v>
      </x:c>
    </x:row>
    <x:row r="413">
      <x:c r="A413" t="n">
        <x:v>10</x:v>
      </x:c>
      <x:c r="B413" t="n">
        <x:v>7</x:v>
      </x:c>
      <x:c r="C413" t="n">
        <x:v>7</x:v>
      </x:c>
      <x:c r="D413" t="n">
        <x:f>MAX(10,ROUNDDOWN((('Calculator'!$B$10+A413)*SQRT('Calculator'!$B$11+B413)*SQRT('Calculator'!$B$12+C413)*0.59740001^2)/10,0))</x:f>
        <x:v>2261</x:v>
      </x:c>
      <x:c r="E413" t="n">
        <x:f>MAX(10,ROUNDDOWN((('Calculator'!$B$10+A413)*SQRT('Calculator'!$B$11+B413)*SQRT('Calculator'!$B$12+C413)*0.667934^2)/10,0))</x:f>
        <x:v>2826</x:v>
      </x:c>
      <x:c r="F413" t="n">
        <x:f>--AND(A413&gt;='Calculator'!$B$5,B413&gt;='Calculator'!$B$5,C413&gt;='Calculator'!$B$5)</x:f>
        <x:v>1</x:v>
      </x:c>
      <x:c r="G413" t="n">
        <x:f>--AND(A413+'Calculator'!$B$6&gt;=15,B413+'Calculator'!$B$6&gt;=15,C413+'Calculator'!$B$6&gt;=15)</x:f>
        <x:v>0</x:v>
      </x:c>
      <x:c r="H413" t="n">
        <x:f>--AND(F413=1,D413='Calculator'!$B$4)</x:f>
        <x:v>0</x:v>
      </x:c>
      <x:c r="I413" t="n">
        <x:f>--AND(H413=1,G413=1)</x:f>
        <x:v>0</x:v>
      </x:c>
      <x:c r="J413" t="n">
        <x:f>--AND(F413=1,E413='Calculator'!$B$4)</x:f>
        <x:v>0</x:v>
      </x:c>
      <x:c r="K413" t="n">
        <x:f>--AND(J413=1,G413=1)</x:f>
        <x:v>0</x:v>
      </x:c>
      <x:c r="L413" t="str">
        <x:f>A413&amp;"/"&amp;B413&amp;"/"&amp;C413</x:f>
        <x:v>10/7/7</x:v>
      </x:c>
      <x:c r="M413" t="str">
        <x:f>MIN(15,A413+'Calculator'!$B$6)&amp;"/"&amp;MIN(15,B413+'Calculator'!$B$6)&amp;"/"&amp;MIN(15,C413+'Calculator'!$B$6)</x:f>
        <x:v>12/9/9</x:v>
      </x:c>
    </x:row>
    <x:row r="414">
      <x:c r="A414" t="n">
        <x:v>10</x:v>
      </x:c>
      <x:c r="B414" t="n">
        <x:v>7</x:v>
      </x:c>
      <x:c r="C414" t="n">
        <x:v>8</x:v>
      </x:c>
      <x:c r="D414" t="n">
        <x:f>MAX(10,ROUNDDOWN((('Calculator'!$B$10+A414)*SQRT('Calculator'!$B$11+B414)*SQRT('Calculator'!$B$12+C414)*0.59740001^2)/10,0))</x:f>
        <x:v>2266</x:v>
      </x:c>
      <x:c r="E414" t="n">
        <x:f>MAX(10,ROUNDDOWN((('Calculator'!$B$10+A414)*SQRT('Calculator'!$B$11+B414)*SQRT('Calculator'!$B$12+C414)*0.667934^2)/10,0))</x:f>
        <x:v>2832</x:v>
      </x:c>
      <x:c r="F414" t="n">
        <x:f>--AND(A414&gt;='Calculator'!$B$5,B414&gt;='Calculator'!$B$5,C414&gt;='Calculator'!$B$5)</x:f>
        <x:v>1</x:v>
      </x:c>
      <x:c r="G414" t="n">
        <x:f>--AND(A414+'Calculator'!$B$6&gt;=15,B414+'Calculator'!$B$6&gt;=15,C414+'Calculator'!$B$6&gt;=15)</x:f>
        <x:v>0</x:v>
      </x:c>
      <x:c r="H414" t="n">
        <x:f>--AND(F414=1,D414='Calculator'!$B$4)</x:f>
        <x:v>0</x:v>
      </x:c>
      <x:c r="I414" t="n">
        <x:f>--AND(H414=1,G414=1)</x:f>
        <x:v>0</x:v>
      </x:c>
      <x:c r="J414" t="n">
        <x:f>--AND(F414=1,E414='Calculator'!$B$4)</x:f>
        <x:v>0</x:v>
      </x:c>
      <x:c r="K414" t="n">
        <x:f>--AND(J414=1,G414=1)</x:f>
        <x:v>0</x:v>
      </x:c>
      <x:c r="L414" t="str">
        <x:f>A414&amp;"/"&amp;B414&amp;"/"&amp;C414</x:f>
        <x:v>10/7/8</x:v>
      </x:c>
      <x:c r="M414" t="str">
        <x:f>MIN(15,A414+'Calculator'!$B$6)&amp;"/"&amp;MIN(15,B414+'Calculator'!$B$6)&amp;"/"&amp;MIN(15,C414+'Calculator'!$B$6)</x:f>
        <x:v>12/9/10</x:v>
      </x:c>
    </x:row>
    <x:row r="415">
      <x:c r="A415" t="n">
        <x:v>10</x:v>
      </x:c>
      <x:c r="B415" t="n">
        <x:v>7</x:v>
      </x:c>
      <x:c r="C415" t="n">
        <x:v>9</x:v>
      </x:c>
      <x:c r="D415" t="n">
        <x:f>MAX(10,ROUNDDOWN((('Calculator'!$B$10+A415)*SQRT('Calculator'!$B$11+B415)*SQRT('Calculator'!$B$12+C415)*0.59740001^2)/10,0))</x:f>
        <x:v>2271</x:v>
      </x:c>
      <x:c r="E415" t="n">
        <x:f>MAX(10,ROUNDDOWN((('Calculator'!$B$10+A415)*SQRT('Calculator'!$B$11+B415)*SQRT('Calculator'!$B$12+C415)*0.667934^2)/10,0))</x:f>
        <x:v>2839</x:v>
      </x:c>
      <x:c r="F415" t="n">
        <x:f>--AND(A415&gt;='Calculator'!$B$5,B415&gt;='Calculator'!$B$5,C415&gt;='Calculator'!$B$5)</x:f>
        <x:v>1</x:v>
      </x:c>
      <x:c r="G415" t="n">
        <x:f>--AND(A415+'Calculator'!$B$6&gt;=15,B415+'Calculator'!$B$6&gt;=15,C415+'Calculator'!$B$6&gt;=15)</x:f>
        <x:v>0</x:v>
      </x:c>
      <x:c r="H415" t="n">
        <x:f>--AND(F415=1,D415='Calculator'!$B$4)</x:f>
        <x:v>0</x:v>
      </x:c>
      <x:c r="I415" t="n">
        <x:f>--AND(H415=1,G415=1)</x:f>
        <x:v>0</x:v>
      </x:c>
      <x:c r="J415" t="n">
        <x:f>--AND(F415=1,E415='Calculator'!$B$4)</x:f>
        <x:v>0</x:v>
      </x:c>
      <x:c r="K415" t="n">
        <x:f>--AND(J415=1,G415=1)</x:f>
        <x:v>0</x:v>
      </x:c>
      <x:c r="L415" t="str">
        <x:f>A415&amp;"/"&amp;B415&amp;"/"&amp;C415</x:f>
        <x:v>10/7/9</x:v>
      </x:c>
      <x:c r="M415" t="str">
        <x:f>MIN(15,A415+'Calculator'!$B$6)&amp;"/"&amp;MIN(15,B415+'Calculator'!$B$6)&amp;"/"&amp;MIN(15,C415+'Calculator'!$B$6)</x:f>
        <x:v>12/9/11</x:v>
      </x:c>
    </x:row>
    <x:row r="416">
      <x:c r="A416" t="n">
        <x:v>10</x:v>
      </x:c>
      <x:c r="B416" t="n">
        <x:v>7</x:v>
      </x:c>
      <x:c r="C416" t="n">
        <x:v>10</x:v>
      </x:c>
      <x:c r="D416" t="n">
        <x:f>MAX(10,ROUNDDOWN((('Calculator'!$B$10+A416)*SQRT('Calculator'!$B$11+B416)*SQRT('Calculator'!$B$12+C416)*0.59740001^2)/10,0))</x:f>
        <x:v>2276</x:v>
      </x:c>
      <x:c r="E416" t="n">
        <x:f>MAX(10,ROUNDDOWN((('Calculator'!$B$10+A416)*SQRT('Calculator'!$B$11+B416)*SQRT('Calculator'!$B$12+C416)*0.667934^2)/10,0))</x:f>
        <x:v>2845</x:v>
      </x:c>
      <x:c r="F416" t="n">
        <x:f>--AND(A416&gt;='Calculator'!$B$5,B416&gt;='Calculator'!$B$5,C416&gt;='Calculator'!$B$5)</x:f>
        <x:v>1</x:v>
      </x:c>
      <x:c r="G416" t="n">
        <x:f>--AND(A416+'Calculator'!$B$6&gt;=15,B416+'Calculator'!$B$6&gt;=15,C416+'Calculator'!$B$6&gt;=15)</x:f>
        <x:v>0</x:v>
      </x:c>
      <x:c r="H416" t="n">
        <x:f>--AND(F416=1,D416='Calculator'!$B$4)</x:f>
        <x:v>0</x:v>
      </x:c>
      <x:c r="I416" t="n">
        <x:f>--AND(H416=1,G416=1)</x:f>
        <x:v>0</x:v>
      </x:c>
      <x:c r="J416" t="n">
        <x:f>--AND(F416=1,E416='Calculator'!$B$4)</x:f>
        <x:v>0</x:v>
      </x:c>
      <x:c r="K416" t="n">
        <x:f>--AND(J416=1,G416=1)</x:f>
        <x:v>0</x:v>
      </x:c>
      <x:c r="L416" t="str">
        <x:f>A416&amp;"/"&amp;B416&amp;"/"&amp;C416</x:f>
        <x:v>10/7/10</x:v>
      </x:c>
      <x:c r="M416" t="str">
        <x:f>MIN(15,A416+'Calculator'!$B$6)&amp;"/"&amp;MIN(15,B416+'Calculator'!$B$6)&amp;"/"&amp;MIN(15,C416+'Calculator'!$B$6)</x:f>
        <x:v>12/9/12</x:v>
      </x:c>
    </x:row>
    <x:row r="417">
      <x:c r="A417" t="n">
        <x:v>10</x:v>
      </x:c>
      <x:c r="B417" t="n">
        <x:v>7</x:v>
      </x:c>
      <x:c r="C417" t="n">
        <x:v>11</x:v>
      </x:c>
      <x:c r="D417" t="n">
        <x:f>MAX(10,ROUNDDOWN((('Calculator'!$B$10+A417)*SQRT('Calculator'!$B$11+B417)*SQRT('Calculator'!$B$12+C417)*0.59740001^2)/10,0))</x:f>
        <x:v>2281</x:v>
      </x:c>
      <x:c r="E417" t="n">
        <x:f>MAX(10,ROUNDDOWN((('Calculator'!$B$10+A417)*SQRT('Calculator'!$B$11+B417)*SQRT('Calculator'!$B$12+C417)*0.667934^2)/10,0))</x:f>
        <x:v>2852</x:v>
      </x:c>
      <x:c r="F417" t="n">
        <x:f>--AND(A417&gt;='Calculator'!$B$5,B417&gt;='Calculator'!$B$5,C417&gt;='Calculator'!$B$5)</x:f>
        <x:v>1</x:v>
      </x:c>
      <x:c r="G417" t="n">
        <x:f>--AND(A417+'Calculator'!$B$6&gt;=15,B417+'Calculator'!$B$6&gt;=15,C417+'Calculator'!$B$6&gt;=15)</x:f>
        <x:v>0</x:v>
      </x:c>
      <x:c r="H417" t="n">
        <x:f>--AND(F417=1,D417='Calculator'!$B$4)</x:f>
        <x:v>0</x:v>
      </x:c>
      <x:c r="I417" t="n">
        <x:f>--AND(H417=1,G417=1)</x:f>
        <x:v>0</x:v>
      </x:c>
      <x:c r="J417" t="n">
        <x:f>--AND(F417=1,E417='Calculator'!$B$4)</x:f>
        <x:v>0</x:v>
      </x:c>
      <x:c r="K417" t="n">
        <x:f>--AND(J417=1,G417=1)</x:f>
        <x:v>0</x:v>
      </x:c>
      <x:c r="L417" t="str">
        <x:f>A417&amp;"/"&amp;B417&amp;"/"&amp;C417</x:f>
        <x:v>10/7/11</x:v>
      </x:c>
      <x:c r="M417" t="str">
        <x:f>MIN(15,A417+'Calculator'!$B$6)&amp;"/"&amp;MIN(15,B417+'Calculator'!$B$6)&amp;"/"&amp;MIN(15,C417+'Calculator'!$B$6)</x:f>
        <x:v>12/9/13</x:v>
      </x:c>
    </x:row>
    <x:row r="418">
      <x:c r="A418" t="n">
        <x:v>10</x:v>
      </x:c>
      <x:c r="B418" t="n">
        <x:v>7</x:v>
      </x:c>
      <x:c r="C418" t="n">
        <x:v>12</x:v>
      </x:c>
      <x:c r="D418" t="n">
        <x:f>MAX(10,ROUNDDOWN((('Calculator'!$B$10+A418)*SQRT('Calculator'!$B$11+B418)*SQRT('Calculator'!$B$12+C418)*0.59740001^2)/10,0))</x:f>
        <x:v>2286</x:v>
      </x:c>
      <x:c r="E418" t="n">
        <x:f>MAX(10,ROUNDDOWN((('Calculator'!$B$10+A418)*SQRT('Calculator'!$B$11+B418)*SQRT('Calculator'!$B$12+C418)*0.667934^2)/10,0))</x:f>
        <x:v>2858</x:v>
      </x:c>
      <x:c r="F418" t="n">
        <x:f>--AND(A418&gt;='Calculator'!$B$5,B418&gt;='Calculator'!$B$5,C418&gt;='Calculator'!$B$5)</x:f>
        <x:v>1</x:v>
      </x:c>
      <x:c r="G418" t="n">
        <x:f>--AND(A418+'Calculator'!$B$6&gt;=15,B418+'Calculator'!$B$6&gt;=15,C418+'Calculator'!$B$6&gt;=15)</x:f>
        <x:v>0</x:v>
      </x:c>
      <x:c r="H418" t="n">
        <x:f>--AND(F418=1,D418='Calculator'!$B$4)</x:f>
        <x:v>0</x:v>
      </x:c>
      <x:c r="I418" t="n">
        <x:f>--AND(H418=1,G418=1)</x:f>
        <x:v>0</x:v>
      </x:c>
      <x:c r="J418" t="n">
        <x:f>--AND(F418=1,E418='Calculator'!$B$4)</x:f>
        <x:v>0</x:v>
      </x:c>
      <x:c r="K418" t="n">
        <x:f>--AND(J418=1,G418=1)</x:f>
        <x:v>0</x:v>
      </x:c>
      <x:c r="L418" t="str">
        <x:f>A418&amp;"/"&amp;B418&amp;"/"&amp;C418</x:f>
        <x:v>10/7/12</x:v>
      </x:c>
      <x:c r="M418" t="str">
        <x:f>MIN(15,A418+'Calculator'!$B$6)&amp;"/"&amp;MIN(15,B418+'Calculator'!$B$6)&amp;"/"&amp;MIN(15,C418+'Calculator'!$B$6)</x:f>
        <x:v>12/9/14</x:v>
      </x:c>
    </x:row>
    <x:row r="419">
      <x:c r="A419" t="n">
        <x:v>10</x:v>
      </x:c>
      <x:c r="B419" t="n">
        <x:v>7</x:v>
      </x:c>
      <x:c r="C419" t="n">
        <x:v>13</x:v>
      </x:c>
      <x:c r="D419" t="n">
        <x:f>MAX(10,ROUNDDOWN((('Calculator'!$B$10+A419)*SQRT('Calculator'!$B$11+B419)*SQRT('Calculator'!$B$12+C419)*0.59740001^2)/10,0))</x:f>
        <x:v>2291</x:v>
      </x:c>
      <x:c r="E419" t="n">
        <x:f>MAX(10,ROUNDDOWN((('Calculator'!$B$10+A419)*SQRT('Calculator'!$B$11+B419)*SQRT('Calculator'!$B$12+C419)*0.667934^2)/10,0))</x:f>
        <x:v>2864</x:v>
      </x:c>
      <x:c r="F419" t="n">
        <x:f>--AND(A419&gt;='Calculator'!$B$5,B419&gt;='Calculator'!$B$5,C419&gt;='Calculator'!$B$5)</x:f>
        <x:v>1</x:v>
      </x:c>
      <x:c r="G419" t="n">
        <x:f>--AND(A419+'Calculator'!$B$6&gt;=15,B419+'Calculator'!$B$6&gt;=15,C419+'Calculator'!$B$6&gt;=15)</x:f>
        <x:v>0</x:v>
      </x:c>
      <x:c r="H419" t="n">
        <x:f>--AND(F419=1,D419='Calculator'!$B$4)</x:f>
        <x:v>0</x:v>
      </x:c>
      <x:c r="I419" t="n">
        <x:f>--AND(H419=1,G419=1)</x:f>
        <x:v>0</x:v>
      </x:c>
      <x:c r="J419" t="n">
        <x:f>--AND(F419=1,E419='Calculator'!$B$4)</x:f>
        <x:v>0</x:v>
      </x:c>
      <x:c r="K419" t="n">
        <x:f>--AND(J419=1,G419=1)</x:f>
        <x:v>0</x:v>
      </x:c>
      <x:c r="L419" t="str">
        <x:f>A419&amp;"/"&amp;B419&amp;"/"&amp;C419</x:f>
        <x:v>10/7/13</x:v>
      </x:c>
      <x:c r="M419" t="str">
        <x:f>MIN(15,A419+'Calculator'!$B$6)&amp;"/"&amp;MIN(15,B419+'Calculator'!$B$6)&amp;"/"&amp;MIN(15,C419+'Calculator'!$B$6)</x:f>
        <x:v>12/9/15</x:v>
      </x:c>
    </x:row>
    <x:row r="420">
      <x:c r="A420" t="n">
        <x:v>10</x:v>
      </x:c>
      <x:c r="B420" t="n">
        <x:v>7</x:v>
      </x:c>
      <x:c r="C420" t="n">
        <x:v>14</x:v>
      </x:c>
      <x:c r="D420" t="n">
        <x:f>MAX(10,ROUNDDOWN((('Calculator'!$B$10+A420)*SQRT('Calculator'!$B$11+B420)*SQRT('Calculator'!$B$12+C420)*0.59740001^2)/10,0))</x:f>
        <x:v>2296</x:v>
      </x:c>
      <x:c r="E420" t="n">
        <x:f>MAX(10,ROUNDDOWN((('Calculator'!$B$10+A420)*SQRT('Calculator'!$B$11+B420)*SQRT('Calculator'!$B$12+C420)*0.667934^2)/10,0))</x:f>
        <x:v>2870</x:v>
      </x:c>
      <x:c r="F420" t="n">
        <x:f>--AND(A420&gt;='Calculator'!$B$5,B420&gt;='Calculator'!$B$5,C420&gt;='Calculator'!$B$5)</x:f>
        <x:v>1</x:v>
      </x:c>
      <x:c r="G420" t="n">
        <x:f>--AND(A420+'Calculator'!$B$6&gt;=15,B420+'Calculator'!$B$6&gt;=15,C420+'Calculator'!$B$6&gt;=15)</x:f>
        <x:v>0</x:v>
      </x:c>
      <x:c r="H420" t="n">
        <x:f>--AND(F420=1,D420='Calculator'!$B$4)</x:f>
        <x:v>0</x:v>
      </x:c>
      <x:c r="I420" t="n">
        <x:f>--AND(H420=1,G420=1)</x:f>
        <x:v>0</x:v>
      </x:c>
      <x:c r="J420" t="n">
        <x:f>--AND(F420=1,E420='Calculator'!$B$4)</x:f>
        <x:v>0</x:v>
      </x:c>
      <x:c r="K420" t="n">
        <x:f>--AND(J420=1,G420=1)</x:f>
        <x:v>0</x:v>
      </x:c>
      <x:c r="L420" t="str">
        <x:f>A420&amp;"/"&amp;B420&amp;"/"&amp;C420</x:f>
        <x:v>10/7/14</x:v>
      </x:c>
      <x:c r="M420" t="str">
        <x:f>MIN(15,A420+'Calculator'!$B$6)&amp;"/"&amp;MIN(15,B420+'Calculator'!$B$6)&amp;"/"&amp;MIN(15,C420+'Calculator'!$B$6)</x:f>
        <x:v>12/9/15</x:v>
      </x:c>
    </x:row>
    <x:row r="421">
      <x:c r="A421" t="n">
        <x:v>10</x:v>
      </x:c>
      <x:c r="B421" t="n">
        <x:v>7</x:v>
      </x:c>
      <x:c r="C421" t="n">
        <x:v>15</x:v>
      </x:c>
      <x:c r="D421" t="n">
        <x:f>MAX(10,ROUNDDOWN((('Calculator'!$B$10+A421)*SQRT('Calculator'!$B$11+B421)*SQRT('Calculator'!$B$12+C421)*0.59740001^2)/10,0))</x:f>
        <x:v>2301</x:v>
      </x:c>
      <x:c r="E421" t="n">
        <x:f>MAX(10,ROUNDDOWN((('Calculator'!$B$10+A421)*SQRT('Calculator'!$B$11+B421)*SQRT('Calculator'!$B$12+C421)*0.667934^2)/10,0))</x:f>
        <x:v>2877</x:v>
      </x:c>
      <x:c r="F421" t="n">
        <x:f>--AND(A421&gt;='Calculator'!$B$5,B421&gt;='Calculator'!$B$5,C421&gt;='Calculator'!$B$5)</x:f>
        <x:v>1</x:v>
      </x:c>
      <x:c r="G421" t="n">
        <x:f>--AND(A421+'Calculator'!$B$6&gt;=15,B421+'Calculator'!$B$6&gt;=15,C421+'Calculator'!$B$6&gt;=15)</x:f>
        <x:v>0</x:v>
      </x:c>
      <x:c r="H421" t="n">
        <x:f>--AND(F421=1,D421='Calculator'!$B$4)</x:f>
        <x:v>0</x:v>
      </x:c>
      <x:c r="I421" t="n">
        <x:f>--AND(H421=1,G421=1)</x:f>
        <x:v>0</x:v>
      </x:c>
      <x:c r="J421" t="n">
        <x:f>--AND(F421=1,E421='Calculator'!$B$4)</x:f>
        <x:v>0</x:v>
      </x:c>
      <x:c r="K421" t="n">
        <x:f>--AND(J421=1,G421=1)</x:f>
        <x:v>0</x:v>
      </x:c>
      <x:c r="L421" t="str">
        <x:f>A421&amp;"/"&amp;B421&amp;"/"&amp;C421</x:f>
        <x:v>10/7/15</x:v>
      </x:c>
      <x:c r="M421" t="str">
        <x:f>MIN(15,A421+'Calculator'!$B$6)&amp;"/"&amp;MIN(15,B421+'Calculator'!$B$6)&amp;"/"&amp;MIN(15,C421+'Calculator'!$B$6)</x:f>
        <x:v>12/9/15</x:v>
      </x:c>
    </x:row>
    <x:row r="422">
      <x:c r="A422" t="n">
        <x:v>10</x:v>
      </x:c>
      <x:c r="B422" t="n">
        <x:v>8</x:v>
      </x:c>
      <x:c r="C422" t="n">
        <x:v>6</x:v>
      </x:c>
      <x:c r="D422" t="n">
        <x:f>MAX(10,ROUNDDOWN((('Calculator'!$B$10+A422)*SQRT('Calculator'!$B$11+B422)*SQRT('Calculator'!$B$12+C422)*0.59740001^2)/10,0))</x:f>
        <x:v>2261</x:v>
      </x:c>
      <x:c r="E422" t="n">
        <x:f>MAX(10,ROUNDDOWN((('Calculator'!$B$10+A422)*SQRT('Calculator'!$B$11+B422)*SQRT('Calculator'!$B$12+C422)*0.667934^2)/10,0))</x:f>
        <x:v>2827</x:v>
      </x:c>
      <x:c r="F422" t="n">
        <x:f>--AND(A422&gt;='Calculator'!$B$5,B422&gt;='Calculator'!$B$5,C422&gt;='Calculator'!$B$5)</x:f>
        <x:v>1</x:v>
      </x:c>
      <x:c r="G422" t="n">
        <x:f>--AND(A422+'Calculator'!$B$6&gt;=15,B422+'Calculator'!$B$6&gt;=15,C422+'Calculator'!$B$6&gt;=15)</x:f>
        <x:v>0</x:v>
      </x:c>
      <x:c r="H422" t="n">
        <x:f>--AND(F422=1,D422='Calculator'!$B$4)</x:f>
        <x:v>0</x:v>
      </x:c>
      <x:c r="I422" t="n">
        <x:f>--AND(H422=1,G422=1)</x:f>
        <x:v>0</x:v>
      </x:c>
      <x:c r="J422" t="n">
        <x:f>--AND(F422=1,E422='Calculator'!$B$4)</x:f>
        <x:v>0</x:v>
      </x:c>
      <x:c r="K422" t="n">
        <x:f>--AND(J422=1,G422=1)</x:f>
        <x:v>0</x:v>
      </x:c>
      <x:c r="L422" t="str">
        <x:f>A422&amp;"/"&amp;B422&amp;"/"&amp;C422</x:f>
        <x:v>10/8/6</x:v>
      </x:c>
      <x:c r="M422" t="str">
        <x:f>MIN(15,A422+'Calculator'!$B$6)&amp;"/"&amp;MIN(15,B422+'Calculator'!$B$6)&amp;"/"&amp;MIN(15,C422+'Calculator'!$B$6)</x:f>
        <x:v>12/10/8</x:v>
      </x:c>
    </x:row>
    <x:row r="423">
      <x:c r="A423" t="n">
        <x:v>10</x:v>
      </x:c>
      <x:c r="B423" t="n">
        <x:v>8</x:v>
      </x:c>
      <x:c r="C423" t="n">
        <x:v>7</x:v>
      </x:c>
      <x:c r="D423" t="n">
        <x:f>MAX(10,ROUNDDOWN((('Calculator'!$B$10+A423)*SQRT('Calculator'!$B$11+B423)*SQRT('Calculator'!$B$12+C423)*0.59740001^2)/10,0))</x:f>
        <x:v>2267</x:v>
      </x:c>
      <x:c r="E423" t="n">
        <x:f>MAX(10,ROUNDDOWN((('Calculator'!$B$10+A423)*SQRT('Calculator'!$B$11+B423)*SQRT('Calculator'!$B$12+C423)*0.667934^2)/10,0))</x:f>
        <x:v>2834</x:v>
      </x:c>
      <x:c r="F423" t="n">
        <x:f>--AND(A423&gt;='Calculator'!$B$5,B423&gt;='Calculator'!$B$5,C423&gt;='Calculator'!$B$5)</x:f>
        <x:v>1</x:v>
      </x:c>
      <x:c r="G423" t="n">
        <x:f>--AND(A423+'Calculator'!$B$6&gt;=15,B423+'Calculator'!$B$6&gt;=15,C423+'Calculator'!$B$6&gt;=15)</x:f>
        <x:v>0</x:v>
      </x:c>
      <x:c r="H423" t="n">
        <x:f>--AND(F423=1,D423='Calculator'!$B$4)</x:f>
        <x:v>0</x:v>
      </x:c>
      <x:c r="I423" t="n">
        <x:f>--AND(H423=1,G423=1)</x:f>
        <x:v>0</x:v>
      </x:c>
      <x:c r="J423" t="n">
        <x:f>--AND(F423=1,E423='Calculator'!$B$4)</x:f>
        <x:v>0</x:v>
      </x:c>
      <x:c r="K423" t="n">
        <x:f>--AND(J423=1,G423=1)</x:f>
        <x:v>0</x:v>
      </x:c>
      <x:c r="L423" t="str">
        <x:f>A423&amp;"/"&amp;B423&amp;"/"&amp;C423</x:f>
        <x:v>10/8/7</x:v>
      </x:c>
      <x:c r="M423" t="str">
        <x:f>MIN(15,A423+'Calculator'!$B$6)&amp;"/"&amp;MIN(15,B423+'Calculator'!$B$6)&amp;"/"&amp;MIN(15,C423+'Calculator'!$B$6)</x:f>
        <x:v>12/10/9</x:v>
      </x:c>
    </x:row>
    <x:row r="424">
      <x:c r="A424" t="n">
        <x:v>10</x:v>
      </x:c>
      <x:c r="B424" t="n">
        <x:v>8</x:v>
      </x:c>
      <x:c r="C424" t="n">
        <x:v>8</x:v>
      </x:c>
      <x:c r="D424" t="n">
        <x:f>MAX(10,ROUNDDOWN((('Calculator'!$B$10+A424)*SQRT('Calculator'!$B$11+B424)*SQRT('Calculator'!$B$12+C424)*0.59740001^2)/10,0))</x:f>
        <x:v>2272</x:v>
      </x:c>
      <x:c r="E424" t="n">
        <x:f>MAX(10,ROUNDDOWN((('Calculator'!$B$10+A424)*SQRT('Calculator'!$B$11+B424)*SQRT('Calculator'!$B$12+C424)*0.667934^2)/10,0))</x:f>
        <x:v>2840</x:v>
      </x:c>
      <x:c r="F424" t="n">
        <x:f>--AND(A424&gt;='Calculator'!$B$5,B424&gt;='Calculator'!$B$5,C424&gt;='Calculator'!$B$5)</x:f>
        <x:v>1</x:v>
      </x:c>
      <x:c r="G424" t="n">
        <x:f>--AND(A424+'Calculator'!$B$6&gt;=15,B424+'Calculator'!$B$6&gt;=15,C424+'Calculator'!$B$6&gt;=15)</x:f>
        <x:v>0</x:v>
      </x:c>
      <x:c r="H424" t="n">
        <x:f>--AND(F424=1,D424='Calculator'!$B$4)</x:f>
        <x:v>0</x:v>
      </x:c>
      <x:c r="I424" t="n">
        <x:f>--AND(H424=1,G424=1)</x:f>
        <x:v>0</x:v>
      </x:c>
      <x:c r="J424" t="n">
        <x:f>--AND(F424=1,E424='Calculator'!$B$4)</x:f>
        <x:v>0</x:v>
      </x:c>
      <x:c r="K424" t="n">
        <x:f>--AND(J424=1,G424=1)</x:f>
        <x:v>0</x:v>
      </x:c>
      <x:c r="L424" t="str">
        <x:f>A424&amp;"/"&amp;B424&amp;"/"&amp;C424</x:f>
        <x:v>10/8/8</x:v>
      </x:c>
      <x:c r="M424" t="str">
        <x:f>MIN(15,A424+'Calculator'!$B$6)&amp;"/"&amp;MIN(15,B424+'Calculator'!$B$6)&amp;"/"&amp;MIN(15,C424+'Calculator'!$B$6)</x:f>
        <x:v>12/10/10</x:v>
      </x:c>
    </x:row>
    <x:row r="425">
      <x:c r="A425" t="n">
        <x:v>10</x:v>
      </x:c>
      <x:c r="B425" t="n">
        <x:v>8</x:v>
      </x:c>
      <x:c r="C425" t="n">
        <x:v>9</x:v>
      </x:c>
      <x:c r="D425" t="n">
        <x:f>MAX(10,ROUNDDOWN((('Calculator'!$B$10+A425)*SQRT('Calculator'!$B$11+B425)*SQRT('Calculator'!$B$12+C425)*0.59740001^2)/10,0))</x:f>
        <x:v>2277</x:v>
      </x:c>
      <x:c r="E425" t="n">
        <x:f>MAX(10,ROUNDDOWN((('Calculator'!$B$10+A425)*SQRT('Calculator'!$B$11+B425)*SQRT('Calculator'!$B$12+C425)*0.667934^2)/10,0))</x:f>
        <x:v>2846</x:v>
      </x:c>
      <x:c r="F425" t="n">
        <x:f>--AND(A425&gt;='Calculator'!$B$5,B425&gt;='Calculator'!$B$5,C425&gt;='Calculator'!$B$5)</x:f>
        <x:v>1</x:v>
      </x:c>
      <x:c r="G425" t="n">
        <x:f>--AND(A425+'Calculator'!$B$6&gt;=15,B425+'Calculator'!$B$6&gt;=15,C425+'Calculator'!$B$6&gt;=15)</x:f>
        <x:v>0</x:v>
      </x:c>
      <x:c r="H425" t="n">
        <x:f>--AND(F425=1,D425='Calculator'!$B$4)</x:f>
        <x:v>0</x:v>
      </x:c>
      <x:c r="I425" t="n">
        <x:f>--AND(H425=1,G425=1)</x:f>
        <x:v>0</x:v>
      </x:c>
      <x:c r="J425" t="n">
        <x:f>--AND(F425=1,E425='Calculator'!$B$4)</x:f>
        <x:v>0</x:v>
      </x:c>
      <x:c r="K425" t="n">
        <x:f>--AND(J425=1,G425=1)</x:f>
        <x:v>0</x:v>
      </x:c>
      <x:c r="L425" t="str">
        <x:f>A425&amp;"/"&amp;B425&amp;"/"&amp;C425</x:f>
        <x:v>10/8/9</x:v>
      </x:c>
      <x:c r="M425" t="str">
        <x:f>MIN(15,A425+'Calculator'!$B$6)&amp;"/"&amp;MIN(15,B425+'Calculator'!$B$6)&amp;"/"&amp;MIN(15,C425+'Calculator'!$B$6)</x:f>
        <x:v>12/10/11</x:v>
      </x:c>
    </x:row>
    <x:row r="426">
      <x:c r="A426" t="n">
        <x:v>10</x:v>
      </x:c>
      <x:c r="B426" t="n">
        <x:v>8</x:v>
      </x:c>
      <x:c r="C426" t="n">
        <x:v>10</x:v>
      </x:c>
      <x:c r="D426" t="n">
        <x:f>MAX(10,ROUNDDOWN((('Calculator'!$B$10+A426)*SQRT('Calculator'!$B$11+B426)*SQRT('Calculator'!$B$12+C426)*0.59740001^2)/10,0))</x:f>
        <x:v>2282</x:v>
      </x:c>
      <x:c r="E426" t="n">
        <x:f>MAX(10,ROUNDDOWN((('Calculator'!$B$10+A426)*SQRT('Calculator'!$B$11+B426)*SQRT('Calculator'!$B$12+C426)*0.667934^2)/10,0))</x:f>
        <x:v>2853</x:v>
      </x:c>
      <x:c r="F426" t="n">
        <x:f>--AND(A426&gt;='Calculator'!$B$5,B426&gt;='Calculator'!$B$5,C426&gt;='Calculator'!$B$5)</x:f>
        <x:v>1</x:v>
      </x:c>
      <x:c r="G426" t="n">
        <x:f>--AND(A426+'Calculator'!$B$6&gt;=15,B426+'Calculator'!$B$6&gt;=15,C426+'Calculator'!$B$6&gt;=15)</x:f>
        <x:v>0</x:v>
      </x:c>
      <x:c r="H426" t="n">
        <x:f>--AND(F426=1,D426='Calculator'!$B$4)</x:f>
        <x:v>0</x:v>
      </x:c>
      <x:c r="I426" t="n">
        <x:f>--AND(H426=1,G426=1)</x:f>
        <x:v>0</x:v>
      </x:c>
      <x:c r="J426" t="n">
        <x:f>--AND(F426=1,E426='Calculator'!$B$4)</x:f>
        <x:v>0</x:v>
      </x:c>
      <x:c r="K426" t="n">
        <x:f>--AND(J426=1,G426=1)</x:f>
        <x:v>0</x:v>
      </x:c>
      <x:c r="L426" t="str">
        <x:f>A426&amp;"/"&amp;B426&amp;"/"&amp;C426</x:f>
        <x:v>10/8/10</x:v>
      </x:c>
      <x:c r="M426" t="str">
        <x:f>MIN(15,A426+'Calculator'!$B$6)&amp;"/"&amp;MIN(15,B426+'Calculator'!$B$6)&amp;"/"&amp;MIN(15,C426+'Calculator'!$B$6)</x:f>
        <x:v>12/10/12</x:v>
      </x:c>
    </x:row>
    <x:row r="427">
      <x:c r="A427" t="n">
        <x:v>10</x:v>
      </x:c>
      <x:c r="B427" t="n">
        <x:v>8</x:v>
      </x:c>
      <x:c r="C427" t="n">
        <x:v>11</x:v>
      </x:c>
      <x:c r="D427" t="n">
        <x:f>MAX(10,ROUNDDOWN((('Calculator'!$B$10+A427)*SQRT('Calculator'!$B$11+B427)*SQRT('Calculator'!$B$12+C427)*0.59740001^2)/10,0))</x:f>
        <x:v>2287</x:v>
      </x:c>
      <x:c r="E427" t="n">
        <x:f>MAX(10,ROUNDDOWN((('Calculator'!$B$10+A427)*SQRT('Calculator'!$B$11+B427)*SQRT('Calculator'!$B$12+C427)*0.667934^2)/10,0))</x:f>
        <x:v>2859</x:v>
      </x:c>
      <x:c r="F427" t="n">
        <x:f>--AND(A427&gt;='Calculator'!$B$5,B427&gt;='Calculator'!$B$5,C427&gt;='Calculator'!$B$5)</x:f>
        <x:v>1</x:v>
      </x:c>
      <x:c r="G427" t="n">
        <x:f>--AND(A427+'Calculator'!$B$6&gt;=15,B427+'Calculator'!$B$6&gt;=15,C427+'Calculator'!$B$6&gt;=15)</x:f>
        <x:v>0</x:v>
      </x:c>
      <x:c r="H427" t="n">
        <x:f>--AND(F427=1,D427='Calculator'!$B$4)</x:f>
        <x:v>0</x:v>
      </x:c>
      <x:c r="I427" t="n">
        <x:f>--AND(H427=1,G427=1)</x:f>
        <x:v>0</x:v>
      </x:c>
      <x:c r="J427" t="n">
        <x:f>--AND(F427=1,E427='Calculator'!$B$4)</x:f>
        <x:v>0</x:v>
      </x:c>
      <x:c r="K427" t="n">
        <x:f>--AND(J427=1,G427=1)</x:f>
        <x:v>0</x:v>
      </x:c>
      <x:c r="L427" t="str">
        <x:f>A427&amp;"/"&amp;B427&amp;"/"&amp;C427</x:f>
        <x:v>10/8/11</x:v>
      </x:c>
      <x:c r="M427" t="str">
        <x:f>MIN(15,A427+'Calculator'!$B$6)&amp;"/"&amp;MIN(15,B427+'Calculator'!$B$6)&amp;"/"&amp;MIN(15,C427+'Calculator'!$B$6)</x:f>
        <x:v>12/10/13</x:v>
      </x:c>
    </x:row>
    <x:row r="428">
      <x:c r="A428" t="n">
        <x:v>10</x:v>
      </x:c>
      <x:c r="B428" t="n">
        <x:v>8</x:v>
      </x:c>
      <x:c r="C428" t="n">
        <x:v>12</x:v>
      </x:c>
      <x:c r="D428" t="n">
        <x:f>MAX(10,ROUNDDOWN((('Calculator'!$B$10+A428)*SQRT('Calculator'!$B$11+B428)*SQRT('Calculator'!$B$12+C428)*0.59740001^2)/10,0))</x:f>
        <x:v>2292</x:v>
      </x:c>
      <x:c r="E428" t="n">
        <x:f>MAX(10,ROUNDDOWN((('Calculator'!$B$10+A428)*SQRT('Calculator'!$B$11+B428)*SQRT('Calculator'!$B$12+C428)*0.667934^2)/10,0))</x:f>
        <x:v>2865</x:v>
      </x:c>
      <x:c r="F428" t="n">
        <x:f>--AND(A428&gt;='Calculator'!$B$5,B428&gt;='Calculator'!$B$5,C428&gt;='Calculator'!$B$5)</x:f>
        <x:v>1</x:v>
      </x:c>
      <x:c r="G428" t="n">
        <x:f>--AND(A428+'Calculator'!$B$6&gt;=15,B428+'Calculator'!$B$6&gt;=15,C428+'Calculator'!$B$6&gt;=15)</x:f>
        <x:v>0</x:v>
      </x:c>
      <x:c r="H428" t="n">
        <x:f>--AND(F428=1,D428='Calculator'!$B$4)</x:f>
        <x:v>0</x:v>
      </x:c>
      <x:c r="I428" t="n">
        <x:f>--AND(H428=1,G428=1)</x:f>
        <x:v>0</x:v>
      </x:c>
      <x:c r="J428" t="n">
        <x:f>--AND(F428=1,E428='Calculator'!$B$4)</x:f>
        <x:v>0</x:v>
      </x:c>
      <x:c r="K428" t="n">
        <x:f>--AND(J428=1,G428=1)</x:f>
        <x:v>0</x:v>
      </x:c>
      <x:c r="L428" t="str">
        <x:f>A428&amp;"/"&amp;B428&amp;"/"&amp;C428</x:f>
        <x:v>10/8/12</x:v>
      </x:c>
      <x:c r="M428" t="str">
        <x:f>MIN(15,A428+'Calculator'!$B$6)&amp;"/"&amp;MIN(15,B428+'Calculator'!$B$6)&amp;"/"&amp;MIN(15,C428+'Calculator'!$B$6)</x:f>
        <x:v>12/10/14</x:v>
      </x:c>
    </x:row>
    <x:row r="429">
      <x:c r="A429" t="n">
        <x:v>10</x:v>
      </x:c>
      <x:c r="B429" t="n">
        <x:v>8</x:v>
      </x:c>
      <x:c r="C429" t="n">
        <x:v>13</x:v>
      </x:c>
      <x:c r="D429" t="n">
        <x:f>MAX(10,ROUNDDOWN((('Calculator'!$B$10+A429)*SQRT('Calculator'!$B$11+B429)*SQRT('Calculator'!$B$12+C429)*0.59740001^2)/10,0))</x:f>
        <x:v>2297</x:v>
      </x:c>
      <x:c r="E429" t="n">
        <x:f>MAX(10,ROUNDDOWN((('Calculator'!$B$10+A429)*SQRT('Calculator'!$B$11+B429)*SQRT('Calculator'!$B$12+C429)*0.667934^2)/10,0))</x:f>
        <x:v>2872</x:v>
      </x:c>
      <x:c r="F429" t="n">
        <x:f>--AND(A429&gt;='Calculator'!$B$5,B429&gt;='Calculator'!$B$5,C429&gt;='Calculator'!$B$5)</x:f>
        <x:v>1</x:v>
      </x:c>
      <x:c r="G429" t="n">
        <x:f>--AND(A429+'Calculator'!$B$6&gt;=15,B429+'Calculator'!$B$6&gt;=15,C429+'Calculator'!$B$6&gt;=15)</x:f>
        <x:v>0</x:v>
      </x:c>
      <x:c r="H429" t="n">
        <x:f>--AND(F429=1,D429='Calculator'!$B$4)</x:f>
        <x:v>0</x:v>
      </x:c>
      <x:c r="I429" t="n">
        <x:f>--AND(H429=1,G429=1)</x:f>
        <x:v>0</x:v>
      </x:c>
      <x:c r="J429" t="n">
        <x:f>--AND(F429=1,E429='Calculator'!$B$4)</x:f>
        <x:v>0</x:v>
      </x:c>
      <x:c r="K429" t="n">
        <x:f>--AND(J429=1,G429=1)</x:f>
        <x:v>0</x:v>
      </x:c>
      <x:c r="L429" t="str">
        <x:f>A429&amp;"/"&amp;B429&amp;"/"&amp;C429</x:f>
        <x:v>10/8/13</x:v>
      </x:c>
      <x:c r="M429" t="str">
        <x:f>MIN(15,A429+'Calculator'!$B$6)&amp;"/"&amp;MIN(15,B429+'Calculator'!$B$6)&amp;"/"&amp;MIN(15,C429+'Calculator'!$B$6)</x:f>
        <x:v>12/10/15</x:v>
      </x:c>
    </x:row>
    <x:row r="430">
      <x:c r="A430" t="n">
        <x:v>10</x:v>
      </x:c>
      <x:c r="B430" t="n">
        <x:v>8</x:v>
      </x:c>
      <x:c r="C430" t="n">
        <x:v>14</x:v>
      </x:c>
      <x:c r="D430" t="n">
        <x:f>MAX(10,ROUNDDOWN((('Calculator'!$B$10+A430)*SQRT('Calculator'!$B$11+B430)*SQRT('Calculator'!$B$12+C430)*0.59740001^2)/10,0))</x:f>
        <x:v>2302</x:v>
      </x:c>
      <x:c r="E430" t="n">
        <x:f>MAX(10,ROUNDDOWN((('Calculator'!$B$10+A430)*SQRT('Calculator'!$B$11+B430)*SQRT('Calculator'!$B$12+C430)*0.667934^2)/10,0))</x:f>
        <x:v>2878</x:v>
      </x:c>
      <x:c r="F430" t="n">
        <x:f>--AND(A430&gt;='Calculator'!$B$5,B430&gt;='Calculator'!$B$5,C430&gt;='Calculator'!$B$5)</x:f>
        <x:v>1</x:v>
      </x:c>
      <x:c r="G430" t="n">
        <x:f>--AND(A430+'Calculator'!$B$6&gt;=15,B430+'Calculator'!$B$6&gt;=15,C430+'Calculator'!$B$6&gt;=15)</x:f>
        <x:v>0</x:v>
      </x:c>
      <x:c r="H430" t="n">
        <x:f>--AND(F430=1,D430='Calculator'!$B$4)</x:f>
        <x:v>0</x:v>
      </x:c>
      <x:c r="I430" t="n">
        <x:f>--AND(H430=1,G430=1)</x:f>
        <x:v>0</x:v>
      </x:c>
      <x:c r="J430" t="n">
        <x:f>--AND(F430=1,E430='Calculator'!$B$4)</x:f>
        <x:v>0</x:v>
      </x:c>
      <x:c r="K430" t="n">
        <x:f>--AND(J430=1,G430=1)</x:f>
        <x:v>0</x:v>
      </x:c>
      <x:c r="L430" t="str">
        <x:f>A430&amp;"/"&amp;B430&amp;"/"&amp;C430</x:f>
        <x:v>10/8/14</x:v>
      </x:c>
      <x:c r="M430" t="str">
        <x:f>MIN(15,A430+'Calculator'!$B$6)&amp;"/"&amp;MIN(15,B430+'Calculator'!$B$6)&amp;"/"&amp;MIN(15,C430+'Calculator'!$B$6)</x:f>
        <x:v>12/10/15</x:v>
      </x:c>
    </x:row>
    <x:row r="431">
      <x:c r="A431" t="n">
        <x:v>10</x:v>
      </x:c>
      <x:c r="B431" t="n">
        <x:v>8</x:v>
      </x:c>
      <x:c r="C431" t="n">
        <x:v>15</x:v>
      </x:c>
      <x:c r="D431" t="n">
        <x:f>MAX(10,ROUNDDOWN((('Calculator'!$B$10+A431)*SQRT('Calculator'!$B$11+B431)*SQRT('Calculator'!$B$12+C431)*0.59740001^2)/10,0))</x:f>
        <x:v>2307</x:v>
      </x:c>
      <x:c r="E431" t="n">
        <x:f>MAX(10,ROUNDDOWN((('Calculator'!$B$10+A431)*SQRT('Calculator'!$B$11+B431)*SQRT('Calculator'!$B$12+C431)*0.667934^2)/10,0))</x:f>
        <x:v>2884</x:v>
      </x:c>
      <x:c r="F431" t="n">
        <x:f>--AND(A431&gt;='Calculator'!$B$5,B431&gt;='Calculator'!$B$5,C431&gt;='Calculator'!$B$5)</x:f>
        <x:v>1</x:v>
      </x:c>
      <x:c r="G431" t="n">
        <x:f>--AND(A431+'Calculator'!$B$6&gt;=15,B431+'Calculator'!$B$6&gt;=15,C431+'Calculator'!$B$6&gt;=15)</x:f>
        <x:v>0</x:v>
      </x:c>
      <x:c r="H431" t="n">
        <x:f>--AND(F431=1,D431='Calculator'!$B$4)</x:f>
        <x:v>0</x:v>
      </x:c>
      <x:c r="I431" t="n">
        <x:f>--AND(H431=1,G431=1)</x:f>
        <x:v>0</x:v>
      </x:c>
      <x:c r="J431" t="n">
        <x:f>--AND(F431=1,E431='Calculator'!$B$4)</x:f>
        <x:v>0</x:v>
      </x:c>
      <x:c r="K431" t="n">
        <x:f>--AND(J431=1,G431=1)</x:f>
        <x:v>0</x:v>
      </x:c>
      <x:c r="L431" t="str">
        <x:f>A431&amp;"/"&amp;B431&amp;"/"&amp;C431</x:f>
        <x:v>10/8/15</x:v>
      </x:c>
      <x:c r="M431" t="str">
        <x:f>MIN(15,A431+'Calculator'!$B$6)&amp;"/"&amp;MIN(15,B431+'Calculator'!$B$6)&amp;"/"&amp;MIN(15,C431+'Calculator'!$B$6)</x:f>
        <x:v>12/10/15</x:v>
      </x:c>
    </x:row>
    <x:row r="432">
      <x:c r="A432" t="n">
        <x:v>10</x:v>
      </x:c>
      <x:c r="B432" t="n">
        <x:v>9</x:v>
      </x:c>
      <x:c r="C432" t="n">
        <x:v>6</x:v>
      </x:c>
      <x:c r="D432" t="n">
        <x:f>MAX(10,ROUNDDOWN((('Calculator'!$B$10+A432)*SQRT('Calculator'!$B$11+B432)*SQRT('Calculator'!$B$12+C432)*0.59740001^2)/10,0))</x:f>
        <x:v>2267</x:v>
      </x:c>
      <x:c r="E432" t="n">
        <x:f>MAX(10,ROUNDDOWN((('Calculator'!$B$10+A432)*SQRT('Calculator'!$B$11+B432)*SQRT('Calculator'!$B$12+C432)*0.667934^2)/10,0))</x:f>
        <x:v>2835</x:v>
      </x:c>
      <x:c r="F432" t="n">
        <x:f>--AND(A432&gt;='Calculator'!$B$5,B432&gt;='Calculator'!$B$5,C432&gt;='Calculator'!$B$5)</x:f>
        <x:v>1</x:v>
      </x:c>
      <x:c r="G432" t="n">
        <x:f>--AND(A432+'Calculator'!$B$6&gt;=15,B432+'Calculator'!$B$6&gt;=15,C432+'Calculator'!$B$6&gt;=15)</x:f>
        <x:v>0</x:v>
      </x:c>
      <x:c r="H432" t="n">
        <x:f>--AND(F432=1,D432='Calculator'!$B$4)</x:f>
        <x:v>0</x:v>
      </x:c>
      <x:c r="I432" t="n">
        <x:f>--AND(H432=1,G432=1)</x:f>
        <x:v>0</x:v>
      </x:c>
      <x:c r="J432" t="n">
        <x:f>--AND(F432=1,E432='Calculator'!$B$4)</x:f>
        <x:v>0</x:v>
      </x:c>
      <x:c r="K432" t="n">
        <x:f>--AND(J432=1,G432=1)</x:f>
        <x:v>0</x:v>
      </x:c>
      <x:c r="L432" t="str">
        <x:f>A432&amp;"/"&amp;B432&amp;"/"&amp;C432</x:f>
        <x:v>10/9/6</x:v>
      </x:c>
      <x:c r="M432" t="str">
        <x:f>MIN(15,A432+'Calculator'!$B$6)&amp;"/"&amp;MIN(15,B432+'Calculator'!$B$6)&amp;"/"&amp;MIN(15,C432+'Calculator'!$B$6)</x:f>
        <x:v>12/11/8</x:v>
      </x:c>
    </x:row>
    <x:row r="433">
      <x:c r="A433" t="n">
        <x:v>10</x:v>
      </x:c>
      <x:c r="B433" t="n">
        <x:v>9</x:v>
      </x:c>
      <x:c r="C433" t="n">
        <x:v>7</x:v>
      </x:c>
      <x:c r="D433" t="n">
        <x:f>MAX(10,ROUNDDOWN((('Calculator'!$B$10+A433)*SQRT('Calculator'!$B$11+B433)*SQRT('Calculator'!$B$12+C433)*0.59740001^2)/10,0))</x:f>
        <x:v>2273</x:v>
      </x:c>
      <x:c r="E433" t="n">
        <x:f>MAX(10,ROUNDDOWN((('Calculator'!$B$10+A433)*SQRT('Calculator'!$B$11+B433)*SQRT('Calculator'!$B$12+C433)*0.667934^2)/10,0))</x:f>
        <x:v>2841</x:v>
      </x:c>
      <x:c r="F433" t="n">
        <x:f>--AND(A433&gt;='Calculator'!$B$5,B433&gt;='Calculator'!$B$5,C433&gt;='Calculator'!$B$5)</x:f>
        <x:v>1</x:v>
      </x:c>
      <x:c r="G433" t="n">
        <x:f>--AND(A433+'Calculator'!$B$6&gt;=15,B433+'Calculator'!$B$6&gt;=15,C433+'Calculator'!$B$6&gt;=15)</x:f>
        <x:v>0</x:v>
      </x:c>
      <x:c r="H433" t="n">
        <x:f>--AND(F433=1,D433='Calculator'!$B$4)</x:f>
        <x:v>0</x:v>
      </x:c>
      <x:c r="I433" t="n">
        <x:f>--AND(H433=1,G433=1)</x:f>
        <x:v>0</x:v>
      </x:c>
      <x:c r="J433" t="n">
        <x:f>--AND(F433=1,E433='Calculator'!$B$4)</x:f>
        <x:v>0</x:v>
      </x:c>
      <x:c r="K433" t="n">
        <x:f>--AND(J433=1,G433=1)</x:f>
        <x:v>0</x:v>
      </x:c>
      <x:c r="L433" t="str">
        <x:f>A433&amp;"/"&amp;B433&amp;"/"&amp;C433</x:f>
        <x:v>10/9/7</x:v>
      </x:c>
      <x:c r="M433" t="str">
        <x:f>MIN(15,A433+'Calculator'!$B$6)&amp;"/"&amp;MIN(15,B433+'Calculator'!$B$6)&amp;"/"&amp;MIN(15,C433+'Calculator'!$B$6)</x:f>
        <x:v>12/11/9</x:v>
      </x:c>
    </x:row>
    <x:row r="434">
      <x:c r="A434" t="n">
        <x:v>10</x:v>
      </x:c>
      <x:c r="B434" t="n">
        <x:v>9</x:v>
      </x:c>
      <x:c r="C434" t="n">
        <x:v>8</x:v>
      </x:c>
      <x:c r="D434" t="n">
        <x:f>MAX(10,ROUNDDOWN((('Calculator'!$B$10+A434)*SQRT('Calculator'!$B$11+B434)*SQRT('Calculator'!$B$12+C434)*0.59740001^2)/10,0))</x:f>
        <x:v>2278</x:v>
      </x:c>
      <x:c r="E434" t="n">
        <x:f>MAX(10,ROUNDDOWN((('Calculator'!$B$10+A434)*SQRT('Calculator'!$B$11+B434)*SQRT('Calculator'!$B$12+C434)*0.667934^2)/10,0))</x:f>
        <x:v>2847</x:v>
      </x:c>
      <x:c r="F434" t="n">
        <x:f>--AND(A434&gt;='Calculator'!$B$5,B434&gt;='Calculator'!$B$5,C434&gt;='Calculator'!$B$5)</x:f>
        <x:v>1</x:v>
      </x:c>
      <x:c r="G434" t="n">
        <x:f>--AND(A434+'Calculator'!$B$6&gt;=15,B434+'Calculator'!$B$6&gt;=15,C434+'Calculator'!$B$6&gt;=15)</x:f>
        <x:v>0</x:v>
      </x:c>
      <x:c r="H434" t="n">
        <x:f>--AND(F434=1,D434='Calculator'!$B$4)</x:f>
        <x:v>0</x:v>
      </x:c>
      <x:c r="I434" t="n">
        <x:f>--AND(H434=1,G434=1)</x:f>
        <x:v>0</x:v>
      </x:c>
      <x:c r="J434" t="n">
        <x:f>--AND(F434=1,E434='Calculator'!$B$4)</x:f>
        <x:v>0</x:v>
      </x:c>
      <x:c r="K434" t="n">
        <x:f>--AND(J434=1,G434=1)</x:f>
        <x:v>0</x:v>
      </x:c>
      <x:c r="L434" t="str">
        <x:f>A434&amp;"/"&amp;B434&amp;"/"&amp;C434</x:f>
        <x:v>10/9/8</x:v>
      </x:c>
      <x:c r="M434" t="str">
        <x:f>MIN(15,A434+'Calculator'!$B$6)&amp;"/"&amp;MIN(15,B434+'Calculator'!$B$6)&amp;"/"&amp;MIN(15,C434+'Calculator'!$B$6)</x:f>
        <x:v>12/11/10</x:v>
      </x:c>
    </x:row>
    <x:row r="435">
      <x:c r="A435" t="n">
        <x:v>10</x:v>
      </x:c>
      <x:c r="B435" t="n">
        <x:v>9</x:v>
      </x:c>
      <x:c r="C435" t="n">
        <x:v>9</x:v>
      </x:c>
      <x:c r="D435" t="n">
        <x:f>MAX(10,ROUNDDOWN((('Calculator'!$B$10+A435)*SQRT('Calculator'!$B$11+B435)*SQRT('Calculator'!$B$12+C435)*0.59740001^2)/10,0))</x:f>
        <x:v>2283</x:v>
      </x:c>
      <x:c r="E435" t="n">
        <x:f>MAX(10,ROUNDDOWN((('Calculator'!$B$10+A435)*SQRT('Calculator'!$B$11+B435)*SQRT('Calculator'!$B$12+C435)*0.667934^2)/10,0))</x:f>
        <x:v>2854</x:v>
      </x:c>
      <x:c r="F435" t="n">
        <x:f>--AND(A435&gt;='Calculator'!$B$5,B435&gt;='Calculator'!$B$5,C435&gt;='Calculator'!$B$5)</x:f>
        <x:v>1</x:v>
      </x:c>
      <x:c r="G435" t="n">
        <x:f>--AND(A435+'Calculator'!$B$6&gt;=15,B435+'Calculator'!$B$6&gt;=15,C435+'Calculator'!$B$6&gt;=15)</x:f>
        <x:v>0</x:v>
      </x:c>
      <x:c r="H435" t="n">
        <x:f>--AND(F435=1,D435='Calculator'!$B$4)</x:f>
        <x:v>0</x:v>
      </x:c>
      <x:c r="I435" t="n">
        <x:f>--AND(H435=1,G435=1)</x:f>
        <x:v>0</x:v>
      </x:c>
      <x:c r="J435" t="n">
        <x:f>--AND(F435=1,E435='Calculator'!$B$4)</x:f>
        <x:v>0</x:v>
      </x:c>
      <x:c r="K435" t="n">
        <x:f>--AND(J435=1,G435=1)</x:f>
        <x:v>0</x:v>
      </x:c>
      <x:c r="L435" t="str">
        <x:f>A435&amp;"/"&amp;B435&amp;"/"&amp;C435</x:f>
        <x:v>10/9/9</x:v>
      </x:c>
      <x:c r="M435" t="str">
        <x:f>MIN(15,A435+'Calculator'!$B$6)&amp;"/"&amp;MIN(15,B435+'Calculator'!$B$6)&amp;"/"&amp;MIN(15,C435+'Calculator'!$B$6)</x:f>
        <x:v>12/11/11</x:v>
      </x:c>
    </x:row>
    <x:row r="436">
      <x:c r="A436" t="n">
        <x:v>10</x:v>
      </x:c>
      <x:c r="B436" t="n">
        <x:v>9</x:v>
      </x:c>
      <x:c r="C436" t="n">
        <x:v>10</x:v>
      </x:c>
      <x:c r="D436" t="n">
        <x:f>MAX(10,ROUNDDOWN((('Calculator'!$B$10+A436)*SQRT('Calculator'!$B$11+B436)*SQRT('Calculator'!$B$12+C436)*0.59740001^2)/10,0))</x:f>
        <x:v>2288</x:v>
      </x:c>
      <x:c r="E436" t="n">
        <x:f>MAX(10,ROUNDDOWN((('Calculator'!$B$10+A436)*SQRT('Calculator'!$B$11+B436)*SQRT('Calculator'!$B$12+C436)*0.667934^2)/10,0))</x:f>
        <x:v>2860</x:v>
      </x:c>
      <x:c r="F436" t="n">
        <x:f>--AND(A436&gt;='Calculator'!$B$5,B436&gt;='Calculator'!$B$5,C436&gt;='Calculator'!$B$5)</x:f>
        <x:v>1</x:v>
      </x:c>
      <x:c r="G436" t="n">
        <x:f>--AND(A436+'Calculator'!$B$6&gt;=15,B436+'Calculator'!$B$6&gt;=15,C436+'Calculator'!$B$6&gt;=15)</x:f>
        <x:v>0</x:v>
      </x:c>
      <x:c r="H436" t="n">
        <x:f>--AND(F436=1,D436='Calculator'!$B$4)</x:f>
        <x:v>0</x:v>
      </x:c>
      <x:c r="I436" t="n">
        <x:f>--AND(H436=1,G436=1)</x:f>
        <x:v>0</x:v>
      </x:c>
      <x:c r="J436" t="n">
        <x:f>--AND(F436=1,E436='Calculator'!$B$4)</x:f>
        <x:v>0</x:v>
      </x:c>
      <x:c r="K436" t="n">
        <x:f>--AND(J436=1,G436=1)</x:f>
        <x:v>0</x:v>
      </x:c>
      <x:c r="L436" t="str">
        <x:f>A436&amp;"/"&amp;B436&amp;"/"&amp;C436</x:f>
        <x:v>10/9/10</x:v>
      </x:c>
      <x:c r="M436" t="str">
        <x:f>MIN(15,A436+'Calculator'!$B$6)&amp;"/"&amp;MIN(15,B436+'Calculator'!$B$6)&amp;"/"&amp;MIN(15,C436+'Calculator'!$B$6)</x:f>
        <x:v>12/11/12</x:v>
      </x:c>
    </x:row>
    <x:row r="437">
      <x:c r="A437" t="n">
        <x:v>10</x:v>
      </x:c>
      <x:c r="B437" t="n">
        <x:v>9</x:v>
      </x:c>
      <x:c r="C437" t="n">
        <x:v>11</x:v>
      </x:c>
      <x:c r="D437" t="n">
        <x:f>MAX(10,ROUNDDOWN((('Calculator'!$B$10+A437)*SQRT('Calculator'!$B$11+B437)*SQRT('Calculator'!$B$12+C437)*0.59740001^2)/10,0))</x:f>
        <x:v>2293</x:v>
      </x:c>
      <x:c r="E437" t="n">
        <x:f>MAX(10,ROUNDDOWN((('Calculator'!$B$10+A437)*SQRT('Calculator'!$B$11+B437)*SQRT('Calculator'!$B$12+C437)*0.667934^2)/10,0))</x:f>
        <x:v>2867</x:v>
      </x:c>
      <x:c r="F437" t="n">
        <x:f>--AND(A437&gt;='Calculator'!$B$5,B437&gt;='Calculator'!$B$5,C437&gt;='Calculator'!$B$5)</x:f>
        <x:v>1</x:v>
      </x:c>
      <x:c r="G437" t="n">
        <x:f>--AND(A437+'Calculator'!$B$6&gt;=15,B437+'Calculator'!$B$6&gt;=15,C437+'Calculator'!$B$6&gt;=15)</x:f>
        <x:v>0</x:v>
      </x:c>
      <x:c r="H437" t="n">
        <x:f>--AND(F437=1,D437='Calculator'!$B$4)</x:f>
        <x:v>0</x:v>
      </x:c>
      <x:c r="I437" t="n">
        <x:f>--AND(H437=1,G437=1)</x:f>
        <x:v>0</x:v>
      </x:c>
      <x:c r="J437" t="n">
        <x:f>--AND(F437=1,E437='Calculator'!$B$4)</x:f>
        <x:v>0</x:v>
      </x:c>
      <x:c r="K437" t="n">
        <x:f>--AND(J437=1,G437=1)</x:f>
        <x:v>0</x:v>
      </x:c>
      <x:c r="L437" t="str">
        <x:f>A437&amp;"/"&amp;B437&amp;"/"&amp;C437</x:f>
        <x:v>10/9/11</x:v>
      </x:c>
      <x:c r="M437" t="str">
        <x:f>MIN(15,A437+'Calculator'!$B$6)&amp;"/"&amp;MIN(15,B437+'Calculator'!$B$6)&amp;"/"&amp;MIN(15,C437+'Calculator'!$B$6)</x:f>
        <x:v>12/11/13</x:v>
      </x:c>
    </x:row>
    <x:row r="438">
      <x:c r="A438" t="n">
        <x:v>10</x:v>
      </x:c>
      <x:c r="B438" t="n">
        <x:v>9</x:v>
      </x:c>
      <x:c r="C438" t="n">
        <x:v>12</x:v>
      </x:c>
      <x:c r="D438" t="n">
        <x:f>MAX(10,ROUNDDOWN((('Calculator'!$B$10+A438)*SQRT('Calculator'!$B$11+B438)*SQRT('Calculator'!$B$12+C438)*0.59740001^2)/10,0))</x:f>
        <x:v>2298</x:v>
      </x:c>
      <x:c r="E438" t="n">
        <x:f>MAX(10,ROUNDDOWN((('Calculator'!$B$10+A438)*SQRT('Calculator'!$B$11+B438)*SQRT('Calculator'!$B$12+C438)*0.667934^2)/10,0))</x:f>
        <x:v>2873</x:v>
      </x:c>
      <x:c r="F438" t="n">
        <x:f>--AND(A438&gt;='Calculator'!$B$5,B438&gt;='Calculator'!$B$5,C438&gt;='Calculator'!$B$5)</x:f>
        <x:v>1</x:v>
      </x:c>
      <x:c r="G438" t="n">
        <x:f>--AND(A438+'Calculator'!$B$6&gt;=15,B438+'Calculator'!$B$6&gt;=15,C438+'Calculator'!$B$6&gt;=15)</x:f>
        <x:v>0</x:v>
      </x:c>
      <x:c r="H438" t="n">
        <x:f>--AND(F438=1,D438='Calculator'!$B$4)</x:f>
        <x:v>0</x:v>
      </x:c>
      <x:c r="I438" t="n">
        <x:f>--AND(H438=1,G438=1)</x:f>
        <x:v>0</x:v>
      </x:c>
      <x:c r="J438" t="n">
        <x:f>--AND(F438=1,E438='Calculator'!$B$4)</x:f>
        <x:v>0</x:v>
      </x:c>
      <x:c r="K438" t="n">
        <x:f>--AND(J438=1,G438=1)</x:f>
        <x:v>0</x:v>
      </x:c>
      <x:c r="L438" t="str">
        <x:f>A438&amp;"/"&amp;B438&amp;"/"&amp;C438</x:f>
        <x:v>10/9/12</x:v>
      </x:c>
      <x:c r="M438" t="str">
        <x:f>MIN(15,A438+'Calculator'!$B$6)&amp;"/"&amp;MIN(15,B438+'Calculator'!$B$6)&amp;"/"&amp;MIN(15,C438+'Calculator'!$B$6)</x:f>
        <x:v>12/11/14</x:v>
      </x:c>
    </x:row>
    <x:row r="439">
      <x:c r="A439" t="n">
        <x:v>10</x:v>
      </x:c>
      <x:c r="B439" t="n">
        <x:v>9</x:v>
      </x:c>
      <x:c r="C439" t="n">
        <x:v>13</x:v>
      </x:c>
      <x:c r="D439" t="n">
        <x:f>MAX(10,ROUNDDOWN((('Calculator'!$B$10+A439)*SQRT('Calculator'!$B$11+B439)*SQRT('Calculator'!$B$12+C439)*0.59740001^2)/10,0))</x:f>
        <x:v>2303</x:v>
      </x:c>
      <x:c r="E439" t="n">
        <x:f>MAX(10,ROUNDDOWN((('Calculator'!$B$10+A439)*SQRT('Calculator'!$B$11+B439)*SQRT('Calculator'!$B$12+C439)*0.667934^2)/10,0))</x:f>
        <x:v>2879</x:v>
      </x:c>
      <x:c r="F439" t="n">
        <x:f>--AND(A439&gt;='Calculator'!$B$5,B439&gt;='Calculator'!$B$5,C439&gt;='Calculator'!$B$5)</x:f>
        <x:v>1</x:v>
      </x:c>
      <x:c r="G439" t="n">
        <x:f>--AND(A439+'Calculator'!$B$6&gt;=15,B439+'Calculator'!$B$6&gt;=15,C439+'Calculator'!$B$6&gt;=15)</x:f>
        <x:v>0</x:v>
      </x:c>
      <x:c r="H439" t="n">
        <x:f>--AND(F439=1,D439='Calculator'!$B$4)</x:f>
        <x:v>0</x:v>
      </x:c>
      <x:c r="I439" t="n">
        <x:f>--AND(H439=1,G439=1)</x:f>
        <x:v>0</x:v>
      </x:c>
      <x:c r="J439" t="n">
        <x:f>--AND(F439=1,E439='Calculator'!$B$4)</x:f>
        <x:v>0</x:v>
      </x:c>
      <x:c r="K439" t="n">
        <x:f>--AND(J439=1,G439=1)</x:f>
        <x:v>0</x:v>
      </x:c>
      <x:c r="L439" t="str">
        <x:f>A439&amp;"/"&amp;B439&amp;"/"&amp;C439</x:f>
        <x:v>10/9/13</x:v>
      </x:c>
      <x:c r="M439" t="str">
        <x:f>MIN(15,A439+'Calculator'!$B$6)&amp;"/"&amp;MIN(15,B439+'Calculator'!$B$6)&amp;"/"&amp;MIN(15,C439+'Calculator'!$B$6)</x:f>
        <x:v>12/11/15</x:v>
      </x:c>
    </x:row>
    <x:row r="440">
      <x:c r="A440" t="n">
        <x:v>10</x:v>
      </x:c>
      <x:c r="B440" t="n">
        <x:v>9</x:v>
      </x:c>
      <x:c r="C440" t="n">
        <x:v>14</x:v>
      </x:c>
      <x:c r="D440" t="n">
        <x:f>MAX(10,ROUNDDOWN((('Calculator'!$B$10+A440)*SQRT('Calculator'!$B$11+B440)*SQRT('Calculator'!$B$12+C440)*0.59740001^2)/10,0))</x:f>
        <x:v>2308</x:v>
      </x:c>
      <x:c r="E440" t="n">
        <x:f>MAX(10,ROUNDDOWN((('Calculator'!$B$10+A440)*SQRT('Calculator'!$B$11+B440)*SQRT('Calculator'!$B$12+C440)*0.667934^2)/10,0))</x:f>
        <x:v>2886</x:v>
      </x:c>
      <x:c r="F440" t="n">
        <x:f>--AND(A440&gt;='Calculator'!$B$5,B440&gt;='Calculator'!$B$5,C440&gt;='Calculator'!$B$5)</x:f>
        <x:v>1</x:v>
      </x:c>
      <x:c r="G440" t="n">
        <x:f>--AND(A440+'Calculator'!$B$6&gt;=15,B440+'Calculator'!$B$6&gt;=15,C440+'Calculator'!$B$6&gt;=15)</x:f>
        <x:v>0</x:v>
      </x:c>
      <x:c r="H440" t="n">
        <x:f>--AND(F440=1,D440='Calculator'!$B$4)</x:f>
        <x:v>0</x:v>
      </x:c>
      <x:c r="I440" t="n">
        <x:f>--AND(H440=1,G440=1)</x:f>
        <x:v>0</x:v>
      </x:c>
      <x:c r="J440" t="n">
        <x:f>--AND(F440=1,E440='Calculator'!$B$4)</x:f>
        <x:v>0</x:v>
      </x:c>
      <x:c r="K440" t="n">
        <x:f>--AND(J440=1,G440=1)</x:f>
        <x:v>0</x:v>
      </x:c>
      <x:c r="L440" t="str">
        <x:f>A440&amp;"/"&amp;B440&amp;"/"&amp;C440</x:f>
        <x:v>10/9/14</x:v>
      </x:c>
      <x:c r="M440" t="str">
        <x:f>MIN(15,A440+'Calculator'!$B$6)&amp;"/"&amp;MIN(15,B440+'Calculator'!$B$6)&amp;"/"&amp;MIN(15,C440+'Calculator'!$B$6)</x:f>
        <x:v>12/11/15</x:v>
      </x:c>
    </x:row>
    <x:row r="441">
      <x:c r="A441" t="n">
        <x:v>10</x:v>
      </x:c>
      <x:c r="B441" t="n">
        <x:v>9</x:v>
      </x:c>
      <x:c r="C441" t="n">
        <x:v>15</x:v>
      </x:c>
      <x:c r="D441" t="n">
        <x:f>MAX(10,ROUNDDOWN((('Calculator'!$B$10+A441)*SQRT('Calculator'!$B$11+B441)*SQRT('Calculator'!$B$12+C441)*0.59740001^2)/10,0))</x:f>
        <x:v>2313</x:v>
      </x:c>
      <x:c r="E441" t="n">
        <x:f>MAX(10,ROUNDDOWN((('Calculator'!$B$10+A441)*SQRT('Calculator'!$B$11+B441)*SQRT('Calculator'!$B$12+C441)*0.667934^2)/10,0))</x:f>
        <x:v>2892</x:v>
      </x:c>
      <x:c r="F441" t="n">
        <x:f>--AND(A441&gt;='Calculator'!$B$5,B441&gt;='Calculator'!$B$5,C441&gt;='Calculator'!$B$5)</x:f>
        <x:v>1</x:v>
      </x:c>
      <x:c r="G441" t="n">
        <x:f>--AND(A441+'Calculator'!$B$6&gt;=15,B441+'Calculator'!$B$6&gt;=15,C441+'Calculator'!$B$6&gt;=15)</x:f>
        <x:v>0</x:v>
      </x:c>
      <x:c r="H441" t="n">
        <x:f>--AND(F441=1,D441='Calculator'!$B$4)</x:f>
        <x:v>0</x:v>
      </x:c>
      <x:c r="I441" t="n">
        <x:f>--AND(H441=1,G441=1)</x:f>
        <x:v>0</x:v>
      </x:c>
      <x:c r="J441" t="n">
        <x:f>--AND(F441=1,E441='Calculator'!$B$4)</x:f>
        <x:v>0</x:v>
      </x:c>
      <x:c r="K441" t="n">
        <x:f>--AND(J441=1,G441=1)</x:f>
        <x:v>0</x:v>
      </x:c>
      <x:c r="L441" t="str">
        <x:f>A441&amp;"/"&amp;B441&amp;"/"&amp;C441</x:f>
        <x:v>10/9/15</x:v>
      </x:c>
      <x:c r="M441" t="str">
        <x:f>MIN(15,A441+'Calculator'!$B$6)&amp;"/"&amp;MIN(15,B441+'Calculator'!$B$6)&amp;"/"&amp;MIN(15,C441+'Calculator'!$B$6)</x:f>
        <x:v>12/11/15</x:v>
      </x:c>
    </x:row>
    <x:row r="442">
      <x:c r="A442" t="n">
        <x:v>10</x:v>
      </x:c>
      <x:c r="B442" t="n">
        <x:v>10</x:v>
      </x:c>
      <x:c r="C442" t="n">
        <x:v>6</x:v>
      </x:c>
      <x:c r="D442" t="n">
        <x:f>MAX(10,ROUNDDOWN((('Calculator'!$B$10+A442)*SQRT('Calculator'!$B$11+B442)*SQRT('Calculator'!$B$12+C442)*0.59740001^2)/10,0))</x:f>
        <x:v>2273</x:v>
      </x:c>
      <x:c r="E442" t="n">
        <x:f>MAX(10,ROUNDDOWN((('Calculator'!$B$10+A442)*SQRT('Calculator'!$B$11+B442)*SQRT('Calculator'!$B$12+C442)*0.667934^2)/10,0))</x:f>
        <x:v>2842</x:v>
      </x:c>
      <x:c r="F442" t="n">
        <x:f>--AND(A442&gt;='Calculator'!$B$5,B442&gt;='Calculator'!$B$5,C442&gt;='Calculator'!$B$5)</x:f>
        <x:v>1</x:v>
      </x:c>
      <x:c r="G442" t="n">
        <x:f>--AND(A442+'Calculator'!$B$6&gt;=15,B442+'Calculator'!$B$6&gt;=15,C442+'Calculator'!$B$6&gt;=15)</x:f>
        <x:v>0</x:v>
      </x:c>
      <x:c r="H442" t="n">
        <x:f>--AND(F442=1,D442='Calculator'!$B$4)</x:f>
        <x:v>0</x:v>
      </x:c>
      <x:c r="I442" t="n">
        <x:f>--AND(H442=1,G442=1)</x:f>
        <x:v>0</x:v>
      </x:c>
      <x:c r="J442" t="n">
        <x:f>--AND(F442=1,E442='Calculator'!$B$4)</x:f>
        <x:v>0</x:v>
      </x:c>
      <x:c r="K442" t="n">
        <x:f>--AND(J442=1,G442=1)</x:f>
        <x:v>0</x:v>
      </x:c>
      <x:c r="L442" t="str">
        <x:f>A442&amp;"/"&amp;B442&amp;"/"&amp;C442</x:f>
        <x:v>10/10/6</x:v>
      </x:c>
      <x:c r="M442" t="str">
        <x:f>MIN(15,A442+'Calculator'!$B$6)&amp;"/"&amp;MIN(15,B442+'Calculator'!$B$6)&amp;"/"&amp;MIN(15,C442+'Calculator'!$B$6)</x:f>
        <x:v>12/12/8</x:v>
      </x:c>
    </x:row>
    <x:row r="443">
      <x:c r="A443" t="n">
        <x:v>10</x:v>
      </x:c>
      <x:c r="B443" t="n">
        <x:v>10</x:v>
      </x:c>
      <x:c r="C443" t="n">
        <x:v>7</x:v>
      </x:c>
      <x:c r="D443" t="n">
        <x:f>MAX(10,ROUNDDOWN((('Calculator'!$B$10+A443)*SQRT('Calculator'!$B$11+B443)*SQRT('Calculator'!$B$12+C443)*0.59740001^2)/10,0))</x:f>
        <x:v>2278</x:v>
      </x:c>
      <x:c r="E443" t="n">
        <x:f>MAX(10,ROUNDDOWN((('Calculator'!$B$10+A443)*SQRT('Calculator'!$B$11+B443)*SQRT('Calculator'!$B$12+C443)*0.667934^2)/10,0))</x:f>
        <x:v>2848</x:v>
      </x:c>
      <x:c r="F443" t="n">
        <x:f>--AND(A443&gt;='Calculator'!$B$5,B443&gt;='Calculator'!$B$5,C443&gt;='Calculator'!$B$5)</x:f>
        <x:v>1</x:v>
      </x:c>
      <x:c r="G443" t="n">
        <x:f>--AND(A443+'Calculator'!$B$6&gt;=15,B443+'Calculator'!$B$6&gt;=15,C443+'Calculator'!$B$6&gt;=15)</x:f>
        <x:v>0</x:v>
      </x:c>
      <x:c r="H443" t="n">
        <x:f>--AND(F443=1,D443='Calculator'!$B$4)</x:f>
        <x:v>0</x:v>
      </x:c>
      <x:c r="I443" t="n">
        <x:f>--AND(H443=1,G443=1)</x:f>
        <x:v>0</x:v>
      </x:c>
      <x:c r="J443" t="n">
        <x:f>--AND(F443=1,E443='Calculator'!$B$4)</x:f>
        <x:v>0</x:v>
      </x:c>
      <x:c r="K443" t="n">
        <x:f>--AND(J443=1,G443=1)</x:f>
        <x:v>0</x:v>
      </x:c>
      <x:c r="L443" t="str">
        <x:f>A443&amp;"/"&amp;B443&amp;"/"&amp;C443</x:f>
        <x:v>10/10/7</x:v>
      </x:c>
      <x:c r="M443" t="str">
        <x:f>MIN(15,A443+'Calculator'!$B$6)&amp;"/"&amp;MIN(15,B443+'Calculator'!$B$6)&amp;"/"&amp;MIN(15,C443+'Calculator'!$B$6)</x:f>
        <x:v>12/12/9</x:v>
      </x:c>
    </x:row>
    <x:row r="444">
      <x:c r="A444" t="n">
        <x:v>10</x:v>
      </x:c>
      <x:c r="B444" t="n">
        <x:v>10</x:v>
      </x:c>
      <x:c r="C444" t="n">
        <x:v>8</x:v>
      </x:c>
      <x:c r="D444" t="n">
        <x:f>MAX(10,ROUNDDOWN((('Calculator'!$B$10+A444)*SQRT('Calculator'!$B$11+B444)*SQRT('Calculator'!$B$12+C444)*0.59740001^2)/10,0))</x:f>
        <x:v>2284</x:v>
      </x:c>
      <x:c r="E444" t="n">
        <x:f>MAX(10,ROUNDDOWN((('Calculator'!$B$10+A444)*SQRT('Calculator'!$B$11+B444)*SQRT('Calculator'!$B$12+C444)*0.667934^2)/10,0))</x:f>
        <x:v>2855</x:v>
      </x:c>
      <x:c r="F444" t="n">
        <x:f>--AND(A444&gt;='Calculator'!$B$5,B444&gt;='Calculator'!$B$5,C444&gt;='Calculator'!$B$5)</x:f>
        <x:v>1</x:v>
      </x:c>
      <x:c r="G444" t="n">
        <x:f>--AND(A444+'Calculator'!$B$6&gt;=15,B444+'Calculator'!$B$6&gt;=15,C444+'Calculator'!$B$6&gt;=15)</x:f>
        <x:v>0</x:v>
      </x:c>
      <x:c r="H444" t="n">
        <x:f>--AND(F444=1,D444='Calculator'!$B$4)</x:f>
        <x:v>0</x:v>
      </x:c>
      <x:c r="I444" t="n">
        <x:f>--AND(H444=1,G444=1)</x:f>
        <x:v>0</x:v>
      </x:c>
      <x:c r="J444" t="n">
        <x:f>--AND(F444=1,E444='Calculator'!$B$4)</x:f>
        <x:v>0</x:v>
      </x:c>
      <x:c r="K444" t="n">
        <x:f>--AND(J444=1,G444=1)</x:f>
        <x:v>0</x:v>
      </x:c>
      <x:c r="L444" t="str">
        <x:f>A444&amp;"/"&amp;B444&amp;"/"&amp;C444</x:f>
        <x:v>10/10/8</x:v>
      </x:c>
      <x:c r="M444" t="str">
        <x:f>MIN(15,A444+'Calculator'!$B$6)&amp;"/"&amp;MIN(15,B444+'Calculator'!$B$6)&amp;"/"&amp;MIN(15,C444+'Calculator'!$B$6)</x:f>
        <x:v>12/12/10</x:v>
      </x:c>
    </x:row>
    <x:row r="445">
      <x:c r="A445" t="n">
        <x:v>10</x:v>
      </x:c>
      <x:c r="B445" t="n">
        <x:v>10</x:v>
      </x:c>
      <x:c r="C445" t="n">
        <x:v>9</x:v>
      </x:c>
      <x:c r="D445" t="n">
        <x:f>MAX(10,ROUNDDOWN((('Calculator'!$B$10+A445)*SQRT('Calculator'!$B$11+B445)*SQRT('Calculator'!$B$12+C445)*0.59740001^2)/10,0))</x:f>
        <x:v>2289</x:v>
      </x:c>
      <x:c r="E445" t="n">
        <x:f>MAX(10,ROUNDDOWN((('Calculator'!$B$10+A445)*SQRT('Calculator'!$B$11+B445)*SQRT('Calculator'!$B$12+C445)*0.667934^2)/10,0))</x:f>
        <x:v>2861</x:v>
      </x:c>
      <x:c r="F445" t="n">
        <x:f>--AND(A445&gt;='Calculator'!$B$5,B445&gt;='Calculator'!$B$5,C445&gt;='Calculator'!$B$5)</x:f>
        <x:v>1</x:v>
      </x:c>
      <x:c r="G445" t="n">
        <x:f>--AND(A445+'Calculator'!$B$6&gt;=15,B445+'Calculator'!$B$6&gt;=15,C445+'Calculator'!$B$6&gt;=15)</x:f>
        <x:v>0</x:v>
      </x:c>
      <x:c r="H445" t="n">
        <x:f>--AND(F445=1,D445='Calculator'!$B$4)</x:f>
        <x:v>0</x:v>
      </x:c>
      <x:c r="I445" t="n">
        <x:f>--AND(H445=1,G445=1)</x:f>
        <x:v>0</x:v>
      </x:c>
      <x:c r="J445" t="n">
        <x:f>--AND(F445=1,E445='Calculator'!$B$4)</x:f>
        <x:v>0</x:v>
      </x:c>
      <x:c r="K445" t="n">
        <x:f>--AND(J445=1,G445=1)</x:f>
        <x:v>0</x:v>
      </x:c>
      <x:c r="L445" t="str">
        <x:f>A445&amp;"/"&amp;B445&amp;"/"&amp;C445</x:f>
        <x:v>10/10/9</x:v>
      </x:c>
      <x:c r="M445" t="str">
        <x:f>MIN(15,A445+'Calculator'!$B$6)&amp;"/"&amp;MIN(15,B445+'Calculator'!$B$6)&amp;"/"&amp;MIN(15,C445+'Calculator'!$B$6)</x:f>
        <x:v>12/12/11</x:v>
      </x:c>
    </x:row>
    <x:row r="446">
      <x:c r="A446" t="n">
        <x:v>10</x:v>
      </x:c>
      <x:c r="B446" t="n">
        <x:v>10</x:v>
      </x:c>
      <x:c r="C446" t="n">
        <x:v>10</x:v>
      </x:c>
      <x:c r="D446" t="n">
        <x:f>MAX(10,ROUNDDOWN((('Calculator'!$B$10+A446)*SQRT('Calculator'!$B$11+B446)*SQRT('Calculator'!$B$12+C446)*0.59740001^2)/10,0))</x:f>
        <x:v>2294</x:v>
      </x:c>
      <x:c r="E446" t="n">
        <x:f>MAX(10,ROUNDDOWN((('Calculator'!$B$10+A446)*SQRT('Calculator'!$B$11+B446)*SQRT('Calculator'!$B$12+C446)*0.667934^2)/10,0))</x:f>
        <x:v>2868</x:v>
      </x:c>
      <x:c r="F446" t="n">
        <x:f>--AND(A446&gt;='Calculator'!$B$5,B446&gt;='Calculator'!$B$5,C446&gt;='Calculator'!$B$5)</x:f>
        <x:v>1</x:v>
      </x:c>
      <x:c r="G446" t="n">
        <x:f>--AND(A446+'Calculator'!$B$6&gt;=15,B446+'Calculator'!$B$6&gt;=15,C446+'Calculator'!$B$6&gt;=15)</x:f>
        <x:v>0</x:v>
      </x:c>
      <x:c r="H446" t="n">
        <x:f>--AND(F446=1,D446='Calculator'!$B$4)</x:f>
        <x:v>0</x:v>
      </x:c>
      <x:c r="I446" t="n">
        <x:f>--AND(H446=1,G446=1)</x:f>
        <x:v>0</x:v>
      </x:c>
      <x:c r="J446" t="n">
        <x:f>--AND(F446=1,E446='Calculator'!$B$4)</x:f>
        <x:v>0</x:v>
      </x:c>
      <x:c r="K446" t="n">
        <x:f>--AND(J446=1,G446=1)</x:f>
        <x:v>0</x:v>
      </x:c>
      <x:c r="L446" t="str">
        <x:f>A446&amp;"/"&amp;B446&amp;"/"&amp;C446</x:f>
        <x:v>10/10/10</x:v>
      </x:c>
      <x:c r="M446" t="str">
        <x:f>MIN(15,A446+'Calculator'!$B$6)&amp;"/"&amp;MIN(15,B446+'Calculator'!$B$6)&amp;"/"&amp;MIN(15,C446+'Calculator'!$B$6)</x:f>
        <x:v>12/12/12</x:v>
      </x:c>
    </x:row>
    <x:row r="447">
      <x:c r="A447" t="n">
        <x:v>10</x:v>
      </x:c>
      <x:c r="B447" t="n">
        <x:v>10</x:v>
      </x:c>
      <x:c r="C447" t="n">
        <x:v>11</x:v>
      </x:c>
      <x:c r="D447" t="n">
        <x:f>MAX(10,ROUNDDOWN((('Calculator'!$B$10+A447)*SQRT('Calculator'!$B$11+B447)*SQRT('Calculator'!$B$12+C447)*0.59740001^2)/10,0))</x:f>
        <x:v>2299</x:v>
      </x:c>
      <x:c r="E447" t="n">
        <x:f>MAX(10,ROUNDDOWN((('Calculator'!$B$10+A447)*SQRT('Calculator'!$B$11+B447)*SQRT('Calculator'!$B$12+C447)*0.667934^2)/10,0))</x:f>
        <x:v>2874</x:v>
      </x:c>
      <x:c r="F447" t="n">
        <x:f>--AND(A447&gt;='Calculator'!$B$5,B447&gt;='Calculator'!$B$5,C447&gt;='Calculator'!$B$5)</x:f>
        <x:v>1</x:v>
      </x:c>
      <x:c r="G447" t="n">
        <x:f>--AND(A447+'Calculator'!$B$6&gt;=15,B447+'Calculator'!$B$6&gt;=15,C447+'Calculator'!$B$6&gt;=15)</x:f>
        <x:v>0</x:v>
      </x:c>
      <x:c r="H447" t="n">
        <x:f>--AND(F447=1,D447='Calculator'!$B$4)</x:f>
        <x:v>0</x:v>
      </x:c>
      <x:c r="I447" t="n">
        <x:f>--AND(H447=1,G447=1)</x:f>
        <x:v>0</x:v>
      </x:c>
      <x:c r="J447" t="n">
        <x:f>--AND(F447=1,E447='Calculator'!$B$4)</x:f>
        <x:v>0</x:v>
      </x:c>
      <x:c r="K447" t="n">
        <x:f>--AND(J447=1,G447=1)</x:f>
        <x:v>0</x:v>
      </x:c>
      <x:c r="L447" t="str">
        <x:f>A447&amp;"/"&amp;B447&amp;"/"&amp;C447</x:f>
        <x:v>10/10/11</x:v>
      </x:c>
      <x:c r="M447" t="str">
        <x:f>MIN(15,A447+'Calculator'!$B$6)&amp;"/"&amp;MIN(15,B447+'Calculator'!$B$6)&amp;"/"&amp;MIN(15,C447+'Calculator'!$B$6)</x:f>
        <x:v>12/12/13</x:v>
      </x:c>
    </x:row>
    <x:row r="448">
      <x:c r="A448" t="n">
        <x:v>10</x:v>
      </x:c>
      <x:c r="B448" t="n">
        <x:v>10</x:v>
      </x:c>
      <x:c r="C448" t="n">
        <x:v>12</x:v>
      </x:c>
      <x:c r="D448" t="n">
        <x:f>MAX(10,ROUNDDOWN((('Calculator'!$B$10+A448)*SQRT('Calculator'!$B$11+B448)*SQRT('Calculator'!$B$12+C448)*0.59740001^2)/10,0))</x:f>
        <x:v>2304</x:v>
      </x:c>
      <x:c r="E448" t="n">
        <x:f>MAX(10,ROUNDDOWN((('Calculator'!$B$10+A448)*SQRT('Calculator'!$B$11+B448)*SQRT('Calculator'!$B$12+C448)*0.667934^2)/10,0))</x:f>
        <x:v>2880</x:v>
      </x:c>
      <x:c r="F448" t="n">
        <x:f>--AND(A448&gt;='Calculator'!$B$5,B448&gt;='Calculator'!$B$5,C448&gt;='Calculator'!$B$5)</x:f>
        <x:v>1</x:v>
      </x:c>
      <x:c r="G448" t="n">
        <x:f>--AND(A448+'Calculator'!$B$6&gt;=15,B448+'Calculator'!$B$6&gt;=15,C448+'Calculator'!$B$6&gt;=15)</x:f>
        <x:v>0</x:v>
      </x:c>
      <x:c r="H448" t="n">
        <x:f>--AND(F448=1,D448='Calculator'!$B$4)</x:f>
        <x:v>0</x:v>
      </x:c>
      <x:c r="I448" t="n">
        <x:f>--AND(H448=1,G448=1)</x:f>
        <x:v>0</x:v>
      </x:c>
      <x:c r="J448" t="n">
        <x:f>--AND(F448=1,E448='Calculator'!$B$4)</x:f>
        <x:v>0</x:v>
      </x:c>
      <x:c r="K448" t="n">
        <x:f>--AND(J448=1,G448=1)</x:f>
        <x:v>0</x:v>
      </x:c>
      <x:c r="L448" t="str">
        <x:f>A448&amp;"/"&amp;B448&amp;"/"&amp;C448</x:f>
        <x:v>10/10/12</x:v>
      </x:c>
      <x:c r="M448" t="str">
        <x:f>MIN(15,A448+'Calculator'!$B$6)&amp;"/"&amp;MIN(15,B448+'Calculator'!$B$6)&amp;"/"&amp;MIN(15,C448+'Calculator'!$B$6)</x:f>
        <x:v>12/12/14</x:v>
      </x:c>
    </x:row>
    <x:row r="449">
      <x:c r="A449" t="n">
        <x:v>10</x:v>
      </x:c>
      <x:c r="B449" t="n">
        <x:v>10</x:v>
      </x:c>
      <x:c r="C449" t="n">
        <x:v>13</x:v>
      </x:c>
      <x:c r="D449" t="n">
        <x:f>MAX(10,ROUNDDOWN((('Calculator'!$B$10+A449)*SQRT('Calculator'!$B$11+B449)*SQRT('Calculator'!$B$12+C449)*0.59740001^2)/10,0))</x:f>
        <x:v>2309</x:v>
      </x:c>
      <x:c r="E449" t="n">
        <x:f>MAX(10,ROUNDDOWN((('Calculator'!$B$10+A449)*SQRT('Calculator'!$B$11+B449)*SQRT('Calculator'!$B$12+C449)*0.667934^2)/10,0))</x:f>
        <x:v>2887</x:v>
      </x:c>
      <x:c r="F449" t="n">
        <x:f>--AND(A449&gt;='Calculator'!$B$5,B449&gt;='Calculator'!$B$5,C449&gt;='Calculator'!$B$5)</x:f>
        <x:v>1</x:v>
      </x:c>
      <x:c r="G449" t="n">
        <x:f>--AND(A449+'Calculator'!$B$6&gt;=15,B449+'Calculator'!$B$6&gt;=15,C449+'Calculator'!$B$6&gt;=15)</x:f>
        <x:v>0</x:v>
      </x:c>
      <x:c r="H449" t="n">
        <x:f>--AND(F449=1,D449='Calculator'!$B$4)</x:f>
        <x:v>0</x:v>
      </x:c>
      <x:c r="I449" t="n">
        <x:f>--AND(H449=1,G449=1)</x:f>
        <x:v>0</x:v>
      </x:c>
      <x:c r="J449" t="n">
        <x:f>--AND(F449=1,E449='Calculator'!$B$4)</x:f>
        <x:v>0</x:v>
      </x:c>
      <x:c r="K449" t="n">
        <x:f>--AND(J449=1,G449=1)</x:f>
        <x:v>0</x:v>
      </x:c>
      <x:c r="L449" t="str">
        <x:f>A449&amp;"/"&amp;B449&amp;"/"&amp;C449</x:f>
        <x:v>10/10/13</x:v>
      </x:c>
      <x:c r="M449" t="str">
        <x:f>MIN(15,A449+'Calculator'!$B$6)&amp;"/"&amp;MIN(15,B449+'Calculator'!$B$6)&amp;"/"&amp;MIN(15,C449+'Calculator'!$B$6)</x:f>
        <x:v>12/12/15</x:v>
      </x:c>
    </x:row>
    <x:row r="450">
      <x:c r="A450" t="n">
        <x:v>10</x:v>
      </x:c>
      <x:c r="B450" t="n">
        <x:v>10</x:v>
      </x:c>
      <x:c r="C450" t="n">
        <x:v>14</x:v>
      </x:c>
      <x:c r="D450" t="n">
        <x:f>MAX(10,ROUNDDOWN((('Calculator'!$B$10+A450)*SQRT('Calculator'!$B$11+B450)*SQRT('Calculator'!$B$12+C450)*0.59740001^2)/10,0))</x:f>
        <x:v>2314</x:v>
      </x:c>
      <x:c r="E450" t="n">
        <x:f>MAX(10,ROUNDDOWN((('Calculator'!$B$10+A450)*SQRT('Calculator'!$B$11+B450)*SQRT('Calculator'!$B$12+C450)*0.667934^2)/10,0))</x:f>
        <x:v>2893</x:v>
      </x:c>
      <x:c r="F450" t="n">
        <x:f>--AND(A450&gt;='Calculator'!$B$5,B450&gt;='Calculator'!$B$5,C450&gt;='Calculator'!$B$5)</x:f>
        <x:v>1</x:v>
      </x:c>
      <x:c r="G450" t="n">
        <x:f>--AND(A450+'Calculator'!$B$6&gt;=15,B450+'Calculator'!$B$6&gt;=15,C450+'Calculator'!$B$6&gt;=15)</x:f>
        <x:v>0</x:v>
      </x:c>
      <x:c r="H450" t="n">
        <x:f>--AND(F450=1,D450='Calculator'!$B$4)</x:f>
        <x:v>0</x:v>
      </x:c>
      <x:c r="I450" t="n">
        <x:f>--AND(H450=1,G450=1)</x:f>
        <x:v>0</x:v>
      </x:c>
      <x:c r="J450" t="n">
        <x:f>--AND(F450=1,E450='Calculator'!$B$4)</x:f>
        <x:v>0</x:v>
      </x:c>
      <x:c r="K450" t="n">
        <x:f>--AND(J450=1,G450=1)</x:f>
        <x:v>0</x:v>
      </x:c>
      <x:c r="L450" t="str">
        <x:f>A450&amp;"/"&amp;B450&amp;"/"&amp;C450</x:f>
        <x:v>10/10/14</x:v>
      </x:c>
      <x:c r="M450" t="str">
        <x:f>MIN(15,A450+'Calculator'!$B$6)&amp;"/"&amp;MIN(15,B450+'Calculator'!$B$6)&amp;"/"&amp;MIN(15,C450+'Calculator'!$B$6)</x:f>
        <x:v>12/12/15</x:v>
      </x:c>
    </x:row>
    <x:row r="451">
      <x:c r="A451" t="n">
        <x:v>10</x:v>
      </x:c>
      <x:c r="B451" t="n">
        <x:v>10</x:v>
      </x:c>
      <x:c r="C451" t="n">
        <x:v>15</x:v>
      </x:c>
      <x:c r="D451" t="n">
        <x:f>MAX(10,ROUNDDOWN((('Calculator'!$B$10+A451)*SQRT('Calculator'!$B$11+B451)*SQRT('Calculator'!$B$12+C451)*0.59740001^2)/10,0))</x:f>
        <x:v>2319</x:v>
      </x:c>
      <x:c r="E451" t="n">
        <x:f>MAX(10,ROUNDDOWN((('Calculator'!$B$10+A451)*SQRT('Calculator'!$B$11+B451)*SQRT('Calculator'!$B$12+C451)*0.667934^2)/10,0))</x:f>
        <x:v>2899</x:v>
      </x:c>
      <x:c r="F451" t="n">
        <x:f>--AND(A451&gt;='Calculator'!$B$5,B451&gt;='Calculator'!$B$5,C451&gt;='Calculator'!$B$5)</x:f>
        <x:v>1</x:v>
      </x:c>
      <x:c r="G451" t="n">
        <x:f>--AND(A451+'Calculator'!$B$6&gt;=15,B451+'Calculator'!$B$6&gt;=15,C451+'Calculator'!$B$6&gt;=15)</x:f>
        <x:v>0</x:v>
      </x:c>
      <x:c r="H451" t="n">
        <x:f>--AND(F451=1,D451='Calculator'!$B$4)</x:f>
        <x:v>0</x:v>
      </x:c>
      <x:c r="I451" t="n">
        <x:f>--AND(H451=1,G451=1)</x:f>
        <x:v>0</x:v>
      </x:c>
      <x:c r="J451" t="n">
        <x:f>--AND(F451=1,E451='Calculator'!$B$4)</x:f>
        <x:v>0</x:v>
      </x:c>
      <x:c r="K451" t="n">
        <x:f>--AND(J451=1,G451=1)</x:f>
        <x:v>0</x:v>
      </x:c>
      <x:c r="L451" t="str">
        <x:f>A451&amp;"/"&amp;B451&amp;"/"&amp;C451</x:f>
        <x:v>10/10/15</x:v>
      </x:c>
      <x:c r="M451" t="str">
        <x:f>MIN(15,A451+'Calculator'!$B$6)&amp;"/"&amp;MIN(15,B451+'Calculator'!$B$6)&amp;"/"&amp;MIN(15,C451+'Calculator'!$B$6)</x:f>
        <x:v>12/12/15</x:v>
      </x:c>
    </x:row>
    <x:row r="452">
      <x:c r="A452" t="n">
        <x:v>10</x:v>
      </x:c>
      <x:c r="B452" t="n">
        <x:v>11</x:v>
      </x:c>
      <x:c r="C452" t="n">
        <x:v>6</x:v>
      </x:c>
      <x:c r="D452" t="n">
        <x:f>MAX(10,ROUNDDOWN((('Calculator'!$B$10+A452)*SQRT('Calculator'!$B$11+B452)*SQRT('Calculator'!$B$12+C452)*0.59740001^2)/10,0))</x:f>
        <x:v>2279</x:v>
      </x:c>
      <x:c r="E452" t="n">
        <x:f>MAX(10,ROUNDDOWN((('Calculator'!$B$10+A452)*SQRT('Calculator'!$B$11+B452)*SQRT('Calculator'!$B$12+C452)*0.667934^2)/10,0))</x:f>
        <x:v>2849</x:v>
      </x:c>
      <x:c r="F452" t="n">
        <x:f>--AND(A452&gt;='Calculator'!$B$5,B452&gt;='Calculator'!$B$5,C452&gt;='Calculator'!$B$5)</x:f>
        <x:v>1</x:v>
      </x:c>
      <x:c r="G452" t="n">
        <x:f>--AND(A452+'Calculator'!$B$6&gt;=15,B452+'Calculator'!$B$6&gt;=15,C452+'Calculator'!$B$6&gt;=15)</x:f>
        <x:v>0</x:v>
      </x:c>
      <x:c r="H452" t="n">
        <x:f>--AND(F452=1,D452='Calculator'!$B$4)</x:f>
        <x:v>0</x:v>
      </x:c>
      <x:c r="I452" t="n">
        <x:f>--AND(H452=1,G452=1)</x:f>
        <x:v>0</x:v>
      </x:c>
      <x:c r="J452" t="n">
        <x:f>--AND(F452=1,E452='Calculator'!$B$4)</x:f>
        <x:v>0</x:v>
      </x:c>
      <x:c r="K452" t="n">
        <x:f>--AND(J452=1,G452=1)</x:f>
        <x:v>0</x:v>
      </x:c>
      <x:c r="L452" t="str">
        <x:f>A452&amp;"/"&amp;B452&amp;"/"&amp;C452</x:f>
        <x:v>10/11/6</x:v>
      </x:c>
      <x:c r="M452" t="str">
        <x:f>MIN(15,A452+'Calculator'!$B$6)&amp;"/"&amp;MIN(15,B452+'Calculator'!$B$6)&amp;"/"&amp;MIN(15,C452+'Calculator'!$B$6)</x:f>
        <x:v>12/13/8</x:v>
      </x:c>
    </x:row>
    <x:row r="453">
      <x:c r="A453" t="n">
        <x:v>10</x:v>
      </x:c>
      <x:c r="B453" t="n">
        <x:v>11</x:v>
      </x:c>
      <x:c r="C453" t="n">
        <x:v>7</x:v>
      </x:c>
      <x:c r="D453" t="n">
        <x:f>MAX(10,ROUNDDOWN((('Calculator'!$B$10+A453)*SQRT('Calculator'!$B$11+B453)*SQRT('Calculator'!$B$12+C453)*0.59740001^2)/10,0))</x:f>
        <x:v>2284</x:v>
      </x:c>
      <x:c r="E453" t="n">
        <x:f>MAX(10,ROUNDDOWN((('Calculator'!$B$10+A453)*SQRT('Calculator'!$B$11+B453)*SQRT('Calculator'!$B$12+C453)*0.667934^2)/10,0))</x:f>
        <x:v>2856</x:v>
      </x:c>
      <x:c r="F453" t="n">
        <x:f>--AND(A453&gt;='Calculator'!$B$5,B453&gt;='Calculator'!$B$5,C453&gt;='Calculator'!$B$5)</x:f>
        <x:v>1</x:v>
      </x:c>
      <x:c r="G453" t="n">
        <x:f>--AND(A453+'Calculator'!$B$6&gt;=15,B453+'Calculator'!$B$6&gt;=15,C453+'Calculator'!$B$6&gt;=15)</x:f>
        <x:v>0</x:v>
      </x:c>
      <x:c r="H453" t="n">
        <x:f>--AND(F453=1,D453='Calculator'!$B$4)</x:f>
        <x:v>0</x:v>
      </x:c>
      <x:c r="I453" t="n">
        <x:f>--AND(H453=1,G453=1)</x:f>
        <x:v>0</x:v>
      </x:c>
      <x:c r="J453" t="n">
        <x:f>--AND(F453=1,E453='Calculator'!$B$4)</x:f>
        <x:v>0</x:v>
      </x:c>
      <x:c r="K453" t="n">
        <x:f>--AND(J453=1,G453=1)</x:f>
        <x:v>0</x:v>
      </x:c>
      <x:c r="L453" t="str">
        <x:f>A453&amp;"/"&amp;B453&amp;"/"&amp;C453</x:f>
        <x:v>10/11/7</x:v>
      </x:c>
      <x:c r="M453" t="str">
        <x:f>MIN(15,A453+'Calculator'!$B$6)&amp;"/"&amp;MIN(15,B453+'Calculator'!$B$6)&amp;"/"&amp;MIN(15,C453+'Calculator'!$B$6)</x:f>
        <x:v>12/13/9</x:v>
      </x:c>
    </x:row>
    <x:row r="454">
      <x:c r="A454" t="n">
        <x:v>10</x:v>
      </x:c>
      <x:c r="B454" t="n">
        <x:v>11</x:v>
      </x:c>
      <x:c r="C454" t="n">
        <x:v>8</x:v>
      </x:c>
      <x:c r="D454" t="n">
        <x:f>MAX(10,ROUNDDOWN((('Calculator'!$B$10+A454)*SQRT('Calculator'!$B$11+B454)*SQRT('Calculator'!$B$12+C454)*0.59740001^2)/10,0))</x:f>
        <x:v>2290</x:v>
      </x:c>
      <x:c r="E454" t="n">
        <x:f>MAX(10,ROUNDDOWN((('Calculator'!$B$10+A454)*SQRT('Calculator'!$B$11+B454)*SQRT('Calculator'!$B$12+C454)*0.667934^2)/10,0))</x:f>
        <x:v>2862</x:v>
      </x:c>
      <x:c r="F454" t="n">
        <x:f>--AND(A454&gt;='Calculator'!$B$5,B454&gt;='Calculator'!$B$5,C454&gt;='Calculator'!$B$5)</x:f>
        <x:v>1</x:v>
      </x:c>
      <x:c r="G454" t="n">
        <x:f>--AND(A454+'Calculator'!$B$6&gt;=15,B454+'Calculator'!$B$6&gt;=15,C454+'Calculator'!$B$6&gt;=15)</x:f>
        <x:v>0</x:v>
      </x:c>
      <x:c r="H454" t="n">
        <x:f>--AND(F454=1,D454='Calculator'!$B$4)</x:f>
        <x:v>0</x:v>
      </x:c>
      <x:c r="I454" t="n">
        <x:f>--AND(H454=1,G454=1)</x:f>
        <x:v>0</x:v>
      </x:c>
      <x:c r="J454" t="n">
        <x:f>--AND(F454=1,E454='Calculator'!$B$4)</x:f>
        <x:v>0</x:v>
      </x:c>
      <x:c r="K454" t="n">
        <x:f>--AND(J454=1,G454=1)</x:f>
        <x:v>0</x:v>
      </x:c>
      <x:c r="L454" t="str">
        <x:f>A454&amp;"/"&amp;B454&amp;"/"&amp;C454</x:f>
        <x:v>10/11/8</x:v>
      </x:c>
      <x:c r="M454" t="str">
        <x:f>MIN(15,A454+'Calculator'!$B$6)&amp;"/"&amp;MIN(15,B454+'Calculator'!$B$6)&amp;"/"&amp;MIN(15,C454+'Calculator'!$B$6)</x:f>
        <x:v>12/13/10</x:v>
      </x:c>
    </x:row>
    <x:row r="455">
      <x:c r="A455" t="n">
        <x:v>10</x:v>
      </x:c>
      <x:c r="B455" t="n">
        <x:v>11</x:v>
      </x:c>
      <x:c r="C455" t="n">
        <x:v>9</x:v>
      </x:c>
      <x:c r="D455" t="n">
        <x:f>MAX(10,ROUNDDOWN((('Calculator'!$B$10+A455)*SQRT('Calculator'!$B$11+B455)*SQRT('Calculator'!$B$12+C455)*0.59740001^2)/10,0))</x:f>
        <x:v>2295</x:v>
      </x:c>
      <x:c r="E455" t="n">
        <x:f>MAX(10,ROUNDDOWN((('Calculator'!$B$10+A455)*SQRT('Calculator'!$B$11+B455)*SQRT('Calculator'!$B$12+C455)*0.667934^2)/10,0))</x:f>
        <x:v>2869</x:v>
      </x:c>
      <x:c r="F455" t="n">
        <x:f>--AND(A455&gt;='Calculator'!$B$5,B455&gt;='Calculator'!$B$5,C455&gt;='Calculator'!$B$5)</x:f>
        <x:v>1</x:v>
      </x:c>
      <x:c r="G455" t="n">
        <x:f>--AND(A455+'Calculator'!$B$6&gt;=15,B455+'Calculator'!$B$6&gt;=15,C455+'Calculator'!$B$6&gt;=15)</x:f>
        <x:v>0</x:v>
      </x:c>
      <x:c r="H455" t="n">
        <x:f>--AND(F455=1,D455='Calculator'!$B$4)</x:f>
        <x:v>0</x:v>
      </x:c>
      <x:c r="I455" t="n">
        <x:f>--AND(H455=1,G455=1)</x:f>
        <x:v>0</x:v>
      </x:c>
      <x:c r="J455" t="n">
        <x:f>--AND(F455=1,E455='Calculator'!$B$4)</x:f>
        <x:v>0</x:v>
      </x:c>
      <x:c r="K455" t="n">
        <x:f>--AND(J455=1,G455=1)</x:f>
        <x:v>0</x:v>
      </x:c>
      <x:c r="L455" t="str">
        <x:f>A455&amp;"/"&amp;B455&amp;"/"&amp;C455</x:f>
        <x:v>10/11/9</x:v>
      </x:c>
      <x:c r="M455" t="str">
        <x:f>MIN(15,A455+'Calculator'!$B$6)&amp;"/"&amp;MIN(15,B455+'Calculator'!$B$6)&amp;"/"&amp;MIN(15,C455+'Calculator'!$B$6)</x:f>
        <x:v>12/13/11</x:v>
      </x:c>
    </x:row>
    <x:row r="456">
      <x:c r="A456" t="n">
        <x:v>10</x:v>
      </x:c>
      <x:c r="B456" t="n">
        <x:v>11</x:v>
      </x:c>
      <x:c r="C456" t="n">
        <x:v>10</x:v>
      </x:c>
      <x:c r="D456" t="n">
        <x:f>MAX(10,ROUNDDOWN((('Calculator'!$B$10+A456)*SQRT('Calculator'!$B$11+B456)*SQRT('Calculator'!$B$12+C456)*0.59740001^2)/10,0))</x:f>
        <x:v>2300</x:v>
      </x:c>
      <x:c r="E456" t="n">
        <x:f>MAX(10,ROUNDDOWN((('Calculator'!$B$10+A456)*SQRT('Calculator'!$B$11+B456)*SQRT('Calculator'!$B$12+C456)*0.667934^2)/10,0))</x:f>
        <x:v>2875</x:v>
      </x:c>
      <x:c r="F456" t="n">
        <x:f>--AND(A456&gt;='Calculator'!$B$5,B456&gt;='Calculator'!$B$5,C456&gt;='Calculator'!$B$5)</x:f>
        <x:v>1</x:v>
      </x:c>
      <x:c r="G456" t="n">
        <x:f>--AND(A456+'Calculator'!$B$6&gt;=15,B456+'Calculator'!$B$6&gt;=15,C456+'Calculator'!$B$6&gt;=15)</x:f>
        <x:v>0</x:v>
      </x:c>
      <x:c r="H456" t="n">
        <x:f>--AND(F456=1,D456='Calculator'!$B$4)</x:f>
        <x:v>0</x:v>
      </x:c>
      <x:c r="I456" t="n">
        <x:f>--AND(H456=1,G456=1)</x:f>
        <x:v>0</x:v>
      </x:c>
      <x:c r="J456" t="n">
        <x:f>--AND(F456=1,E456='Calculator'!$B$4)</x:f>
        <x:v>0</x:v>
      </x:c>
      <x:c r="K456" t="n">
        <x:f>--AND(J456=1,G456=1)</x:f>
        <x:v>0</x:v>
      </x:c>
      <x:c r="L456" t="str">
        <x:f>A456&amp;"/"&amp;B456&amp;"/"&amp;C456</x:f>
        <x:v>10/11/10</x:v>
      </x:c>
      <x:c r="M456" t="str">
        <x:f>MIN(15,A456+'Calculator'!$B$6)&amp;"/"&amp;MIN(15,B456+'Calculator'!$B$6)&amp;"/"&amp;MIN(15,C456+'Calculator'!$B$6)</x:f>
        <x:v>12/13/12</x:v>
      </x:c>
    </x:row>
    <x:row r="457">
      <x:c r="A457" t="n">
        <x:v>10</x:v>
      </x:c>
      <x:c r="B457" t="n">
        <x:v>11</x:v>
      </x:c>
      <x:c r="C457" t="n">
        <x:v>11</x:v>
      </x:c>
      <x:c r="D457" t="n">
        <x:f>MAX(10,ROUNDDOWN((('Calculator'!$B$10+A457)*SQRT('Calculator'!$B$11+B457)*SQRT('Calculator'!$B$12+C457)*0.59740001^2)/10,0))</x:f>
        <x:v>2305</x:v>
      </x:c>
      <x:c r="E457" t="n">
        <x:f>MAX(10,ROUNDDOWN((('Calculator'!$B$10+A457)*SQRT('Calculator'!$B$11+B457)*SQRT('Calculator'!$B$12+C457)*0.667934^2)/10,0))</x:f>
        <x:v>2882</x:v>
      </x:c>
      <x:c r="F457" t="n">
        <x:f>--AND(A457&gt;='Calculator'!$B$5,B457&gt;='Calculator'!$B$5,C457&gt;='Calculator'!$B$5)</x:f>
        <x:v>1</x:v>
      </x:c>
      <x:c r="G457" t="n">
        <x:f>--AND(A457+'Calculator'!$B$6&gt;=15,B457+'Calculator'!$B$6&gt;=15,C457+'Calculator'!$B$6&gt;=15)</x:f>
        <x:v>0</x:v>
      </x:c>
      <x:c r="H457" t="n">
        <x:f>--AND(F457=1,D457='Calculator'!$B$4)</x:f>
        <x:v>0</x:v>
      </x:c>
      <x:c r="I457" t="n">
        <x:f>--AND(H457=1,G457=1)</x:f>
        <x:v>0</x:v>
      </x:c>
      <x:c r="J457" t="n">
        <x:f>--AND(F457=1,E457='Calculator'!$B$4)</x:f>
        <x:v>0</x:v>
      </x:c>
      <x:c r="K457" t="n">
        <x:f>--AND(J457=1,G457=1)</x:f>
        <x:v>0</x:v>
      </x:c>
      <x:c r="L457" t="str">
        <x:f>A457&amp;"/"&amp;B457&amp;"/"&amp;C457</x:f>
        <x:v>10/11/11</x:v>
      </x:c>
      <x:c r="M457" t="str">
        <x:f>MIN(15,A457+'Calculator'!$B$6)&amp;"/"&amp;MIN(15,B457+'Calculator'!$B$6)&amp;"/"&amp;MIN(15,C457+'Calculator'!$B$6)</x:f>
        <x:v>12/13/13</x:v>
      </x:c>
    </x:row>
    <x:row r="458">
      <x:c r="A458" t="n">
        <x:v>10</x:v>
      </x:c>
      <x:c r="B458" t="n">
        <x:v>11</x:v>
      </x:c>
      <x:c r="C458" t="n">
        <x:v>12</x:v>
      </x:c>
      <x:c r="D458" t="n">
        <x:f>MAX(10,ROUNDDOWN((('Calculator'!$B$10+A458)*SQRT('Calculator'!$B$11+B458)*SQRT('Calculator'!$B$12+C458)*0.59740001^2)/10,0))</x:f>
        <x:v>2310</x:v>
      </x:c>
      <x:c r="E458" t="n">
        <x:f>MAX(10,ROUNDDOWN((('Calculator'!$B$10+A458)*SQRT('Calculator'!$B$11+B458)*SQRT('Calculator'!$B$12+C458)*0.667934^2)/10,0))</x:f>
        <x:v>2888</x:v>
      </x:c>
      <x:c r="F458" t="n">
        <x:f>--AND(A458&gt;='Calculator'!$B$5,B458&gt;='Calculator'!$B$5,C458&gt;='Calculator'!$B$5)</x:f>
        <x:v>1</x:v>
      </x:c>
      <x:c r="G458" t="n">
        <x:f>--AND(A458+'Calculator'!$B$6&gt;=15,B458+'Calculator'!$B$6&gt;=15,C458+'Calculator'!$B$6&gt;=15)</x:f>
        <x:v>0</x:v>
      </x:c>
      <x:c r="H458" t="n">
        <x:f>--AND(F458=1,D458='Calculator'!$B$4)</x:f>
        <x:v>0</x:v>
      </x:c>
      <x:c r="I458" t="n">
        <x:f>--AND(H458=1,G458=1)</x:f>
        <x:v>0</x:v>
      </x:c>
      <x:c r="J458" t="n">
        <x:f>--AND(F458=1,E458='Calculator'!$B$4)</x:f>
        <x:v>0</x:v>
      </x:c>
      <x:c r="K458" t="n">
        <x:f>--AND(J458=1,G458=1)</x:f>
        <x:v>0</x:v>
      </x:c>
      <x:c r="L458" t="str">
        <x:f>A458&amp;"/"&amp;B458&amp;"/"&amp;C458</x:f>
        <x:v>10/11/12</x:v>
      </x:c>
      <x:c r="M458" t="str">
        <x:f>MIN(15,A458+'Calculator'!$B$6)&amp;"/"&amp;MIN(15,B458+'Calculator'!$B$6)&amp;"/"&amp;MIN(15,C458+'Calculator'!$B$6)</x:f>
        <x:v>12/13/14</x:v>
      </x:c>
    </x:row>
    <x:row r="459">
      <x:c r="A459" t="n">
        <x:v>10</x:v>
      </x:c>
      <x:c r="B459" t="n">
        <x:v>11</x:v>
      </x:c>
      <x:c r="C459" t="n">
        <x:v>13</x:v>
      </x:c>
      <x:c r="D459" t="n">
        <x:f>MAX(10,ROUNDDOWN((('Calculator'!$B$10+A459)*SQRT('Calculator'!$B$11+B459)*SQRT('Calculator'!$B$12+C459)*0.59740001^2)/10,0))</x:f>
        <x:v>2315</x:v>
      </x:c>
      <x:c r="E459" t="n">
        <x:f>MAX(10,ROUNDDOWN((('Calculator'!$B$10+A459)*SQRT('Calculator'!$B$11+B459)*SQRT('Calculator'!$B$12+C459)*0.667934^2)/10,0))</x:f>
        <x:v>2894</x:v>
      </x:c>
      <x:c r="F459" t="n">
        <x:f>--AND(A459&gt;='Calculator'!$B$5,B459&gt;='Calculator'!$B$5,C459&gt;='Calculator'!$B$5)</x:f>
        <x:v>1</x:v>
      </x:c>
      <x:c r="G459" t="n">
        <x:f>--AND(A459+'Calculator'!$B$6&gt;=15,B459+'Calculator'!$B$6&gt;=15,C459+'Calculator'!$B$6&gt;=15)</x:f>
        <x:v>0</x:v>
      </x:c>
      <x:c r="H459" t="n">
        <x:f>--AND(F459=1,D459='Calculator'!$B$4)</x:f>
        <x:v>0</x:v>
      </x:c>
      <x:c r="I459" t="n">
        <x:f>--AND(H459=1,G459=1)</x:f>
        <x:v>0</x:v>
      </x:c>
      <x:c r="J459" t="n">
        <x:f>--AND(F459=1,E459='Calculator'!$B$4)</x:f>
        <x:v>0</x:v>
      </x:c>
      <x:c r="K459" t="n">
        <x:f>--AND(J459=1,G459=1)</x:f>
        <x:v>0</x:v>
      </x:c>
      <x:c r="L459" t="str">
        <x:f>A459&amp;"/"&amp;B459&amp;"/"&amp;C459</x:f>
        <x:v>10/11/13</x:v>
      </x:c>
      <x:c r="M459" t="str">
        <x:f>MIN(15,A459+'Calculator'!$B$6)&amp;"/"&amp;MIN(15,B459+'Calculator'!$B$6)&amp;"/"&amp;MIN(15,C459+'Calculator'!$B$6)</x:f>
        <x:v>12/13/15</x:v>
      </x:c>
    </x:row>
    <x:row r="460">
      <x:c r="A460" t="n">
        <x:v>10</x:v>
      </x:c>
      <x:c r="B460" t="n">
        <x:v>11</x:v>
      </x:c>
      <x:c r="C460" t="n">
        <x:v>14</x:v>
      </x:c>
      <x:c r="D460" t="n">
        <x:f>MAX(10,ROUNDDOWN((('Calculator'!$B$10+A460)*SQRT('Calculator'!$B$11+B460)*SQRT('Calculator'!$B$12+C460)*0.59740001^2)/10,0))</x:f>
        <x:v>2320</x:v>
      </x:c>
      <x:c r="E460" t="n">
        <x:f>MAX(10,ROUNDDOWN((('Calculator'!$B$10+A460)*SQRT('Calculator'!$B$11+B460)*SQRT('Calculator'!$B$12+C460)*0.667934^2)/10,0))</x:f>
        <x:v>2901</x:v>
      </x:c>
      <x:c r="F460" t="n">
        <x:f>--AND(A460&gt;='Calculator'!$B$5,B460&gt;='Calculator'!$B$5,C460&gt;='Calculator'!$B$5)</x:f>
        <x:v>1</x:v>
      </x:c>
      <x:c r="G460" t="n">
        <x:f>--AND(A460+'Calculator'!$B$6&gt;=15,B460+'Calculator'!$B$6&gt;=15,C460+'Calculator'!$B$6&gt;=15)</x:f>
        <x:v>0</x:v>
      </x:c>
      <x:c r="H460" t="n">
        <x:f>--AND(F460=1,D460='Calculator'!$B$4)</x:f>
        <x:v>0</x:v>
      </x:c>
      <x:c r="I460" t="n">
        <x:f>--AND(H460=1,G460=1)</x:f>
        <x:v>0</x:v>
      </x:c>
      <x:c r="J460" t="n">
        <x:f>--AND(F460=1,E460='Calculator'!$B$4)</x:f>
        <x:v>0</x:v>
      </x:c>
      <x:c r="K460" t="n">
        <x:f>--AND(J460=1,G460=1)</x:f>
        <x:v>0</x:v>
      </x:c>
      <x:c r="L460" t="str">
        <x:f>A460&amp;"/"&amp;B460&amp;"/"&amp;C460</x:f>
        <x:v>10/11/14</x:v>
      </x:c>
      <x:c r="M460" t="str">
        <x:f>MIN(15,A460+'Calculator'!$B$6)&amp;"/"&amp;MIN(15,B460+'Calculator'!$B$6)&amp;"/"&amp;MIN(15,C460+'Calculator'!$B$6)</x:f>
        <x:v>12/13/15</x:v>
      </x:c>
    </x:row>
    <x:row r="461">
      <x:c r="A461" t="n">
        <x:v>10</x:v>
      </x:c>
      <x:c r="B461" t="n">
        <x:v>11</x:v>
      </x:c>
      <x:c r="C461" t="n">
        <x:v>15</x:v>
      </x:c>
      <x:c r="D461" t="n">
        <x:f>MAX(10,ROUNDDOWN((('Calculator'!$B$10+A461)*SQRT('Calculator'!$B$11+B461)*SQRT('Calculator'!$B$12+C461)*0.59740001^2)/10,0))</x:f>
        <x:v>2325</x:v>
      </x:c>
      <x:c r="E461" t="n">
        <x:f>MAX(10,ROUNDDOWN((('Calculator'!$B$10+A461)*SQRT('Calculator'!$B$11+B461)*SQRT('Calculator'!$B$12+C461)*0.667934^2)/10,0))</x:f>
        <x:v>2907</x:v>
      </x:c>
      <x:c r="F461" t="n">
        <x:f>--AND(A461&gt;='Calculator'!$B$5,B461&gt;='Calculator'!$B$5,C461&gt;='Calculator'!$B$5)</x:f>
        <x:v>1</x:v>
      </x:c>
      <x:c r="G461" t="n">
        <x:f>--AND(A461+'Calculator'!$B$6&gt;=15,B461+'Calculator'!$B$6&gt;=15,C461+'Calculator'!$B$6&gt;=15)</x:f>
        <x:v>0</x:v>
      </x:c>
      <x:c r="H461" t="n">
        <x:f>--AND(F461=1,D461='Calculator'!$B$4)</x:f>
        <x:v>0</x:v>
      </x:c>
      <x:c r="I461" t="n">
        <x:f>--AND(H461=1,G461=1)</x:f>
        <x:v>0</x:v>
      </x:c>
      <x:c r="J461" t="n">
        <x:f>--AND(F461=1,E461='Calculator'!$B$4)</x:f>
        <x:v>0</x:v>
      </x:c>
      <x:c r="K461" t="n">
        <x:f>--AND(J461=1,G461=1)</x:f>
        <x:v>0</x:v>
      </x:c>
      <x:c r="L461" t="str">
        <x:f>A461&amp;"/"&amp;B461&amp;"/"&amp;C461</x:f>
        <x:v>10/11/15</x:v>
      </x:c>
      <x:c r="M461" t="str">
        <x:f>MIN(15,A461+'Calculator'!$B$6)&amp;"/"&amp;MIN(15,B461+'Calculator'!$B$6)&amp;"/"&amp;MIN(15,C461+'Calculator'!$B$6)</x:f>
        <x:v>12/13/15</x:v>
      </x:c>
    </x:row>
    <x:row r="462">
      <x:c r="A462" t="n">
        <x:v>10</x:v>
      </x:c>
      <x:c r="B462" t="n">
        <x:v>12</x:v>
      </x:c>
      <x:c r="C462" t="n">
        <x:v>6</x:v>
      </x:c>
      <x:c r="D462" t="n">
        <x:f>MAX(10,ROUNDDOWN((('Calculator'!$B$10+A462)*SQRT('Calculator'!$B$11+B462)*SQRT('Calculator'!$B$12+C462)*0.59740001^2)/10,0))</x:f>
        <x:v>2285</x:v>
      </x:c>
      <x:c r="E462" t="n">
        <x:f>MAX(10,ROUNDDOWN((('Calculator'!$B$10+A462)*SQRT('Calculator'!$B$11+B462)*SQRT('Calculator'!$B$12+C462)*0.667934^2)/10,0))</x:f>
        <x:v>2857</x:v>
      </x:c>
      <x:c r="F462" t="n">
        <x:f>--AND(A462&gt;='Calculator'!$B$5,B462&gt;='Calculator'!$B$5,C462&gt;='Calculator'!$B$5)</x:f>
        <x:v>1</x:v>
      </x:c>
      <x:c r="G462" t="n">
        <x:f>--AND(A462+'Calculator'!$B$6&gt;=15,B462+'Calculator'!$B$6&gt;=15,C462+'Calculator'!$B$6&gt;=15)</x:f>
        <x:v>0</x:v>
      </x:c>
      <x:c r="H462" t="n">
        <x:f>--AND(F462=1,D462='Calculator'!$B$4)</x:f>
        <x:v>0</x:v>
      </x:c>
      <x:c r="I462" t="n">
        <x:f>--AND(H462=1,G462=1)</x:f>
        <x:v>0</x:v>
      </x:c>
      <x:c r="J462" t="n">
        <x:f>--AND(F462=1,E462='Calculator'!$B$4)</x:f>
        <x:v>0</x:v>
      </x:c>
      <x:c r="K462" t="n">
        <x:f>--AND(J462=1,G462=1)</x:f>
        <x:v>0</x:v>
      </x:c>
      <x:c r="L462" t="str">
        <x:f>A462&amp;"/"&amp;B462&amp;"/"&amp;C462</x:f>
        <x:v>10/12/6</x:v>
      </x:c>
      <x:c r="M462" t="str">
        <x:f>MIN(15,A462+'Calculator'!$B$6)&amp;"/"&amp;MIN(15,B462+'Calculator'!$B$6)&amp;"/"&amp;MIN(15,C462+'Calculator'!$B$6)</x:f>
        <x:v>12/14/8</x:v>
      </x:c>
    </x:row>
    <x:row r="463">
      <x:c r="A463" t="n">
        <x:v>10</x:v>
      </x:c>
      <x:c r="B463" t="n">
        <x:v>12</x:v>
      </x:c>
      <x:c r="C463" t="n">
        <x:v>7</x:v>
      </x:c>
      <x:c r="D463" t="n">
        <x:f>MAX(10,ROUNDDOWN((('Calculator'!$B$10+A463)*SQRT('Calculator'!$B$11+B463)*SQRT('Calculator'!$B$12+C463)*0.59740001^2)/10,0))</x:f>
        <x:v>2290</x:v>
      </x:c>
      <x:c r="E463" t="n">
        <x:f>MAX(10,ROUNDDOWN((('Calculator'!$B$10+A463)*SQRT('Calculator'!$B$11+B463)*SQRT('Calculator'!$B$12+C463)*0.667934^2)/10,0))</x:f>
        <x:v>2863</x:v>
      </x:c>
      <x:c r="F463" t="n">
        <x:f>--AND(A463&gt;='Calculator'!$B$5,B463&gt;='Calculator'!$B$5,C463&gt;='Calculator'!$B$5)</x:f>
        <x:v>1</x:v>
      </x:c>
      <x:c r="G463" t="n">
        <x:f>--AND(A463+'Calculator'!$B$6&gt;=15,B463+'Calculator'!$B$6&gt;=15,C463+'Calculator'!$B$6&gt;=15)</x:f>
        <x:v>0</x:v>
      </x:c>
      <x:c r="H463" t="n">
        <x:f>--AND(F463=1,D463='Calculator'!$B$4)</x:f>
        <x:v>0</x:v>
      </x:c>
      <x:c r="I463" t="n">
        <x:f>--AND(H463=1,G463=1)</x:f>
        <x:v>0</x:v>
      </x:c>
      <x:c r="J463" t="n">
        <x:f>--AND(F463=1,E463='Calculator'!$B$4)</x:f>
        <x:v>0</x:v>
      </x:c>
      <x:c r="K463" t="n">
        <x:f>--AND(J463=1,G463=1)</x:f>
        <x:v>0</x:v>
      </x:c>
      <x:c r="L463" t="str">
        <x:f>A463&amp;"/"&amp;B463&amp;"/"&amp;C463</x:f>
        <x:v>10/12/7</x:v>
      </x:c>
      <x:c r="M463" t="str">
        <x:f>MIN(15,A463+'Calculator'!$B$6)&amp;"/"&amp;MIN(15,B463+'Calculator'!$B$6)&amp;"/"&amp;MIN(15,C463+'Calculator'!$B$6)</x:f>
        <x:v>12/14/9</x:v>
      </x:c>
    </x:row>
    <x:row r="464">
      <x:c r="A464" t="n">
        <x:v>10</x:v>
      </x:c>
      <x:c r="B464" t="n">
        <x:v>12</x:v>
      </x:c>
      <x:c r="C464" t="n">
        <x:v>8</x:v>
      </x:c>
      <x:c r="D464" t="n">
        <x:f>MAX(10,ROUNDDOWN((('Calculator'!$B$10+A464)*SQRT('Calculator'!$B$11+B464)*SQRT('Calculator'!$B$12+C464)*0.59740001^2)/10,0))</x:f>
        <x:v>2295</x:v>
      </x:c>
      <x:c r="E464" t="n">
        <x:f>MAX(10,ROUNDDOWN((('Calculator'!$B$10+A464)*SQRT('Calculator'!$B$11+B464)*SQRT('Calculator'!$B$12+C464)*0.667934^2)/10,0))</x:f>
        <x:v>2870</x:v>
      </x:c>
      <x:c r="F464" t="n">
        <x:f>--AND(A464&gt;='Calculator'!$B$5,B464&gt;='Calculator'!$B$5,C464&gt;='Calculator'!$B$5)</x:f>
        <x:v>1</x:v>
      </x:c>
      <x:c r="G464" t="n">
        <x:f>--AND(A464+'Calculator'!$B$6&gt;=15,B464+'Calculator'!$B$6&gt;=15,C464+'Calculator'!$B$6&gt;=15)</x:f>
        <x:v>0</x:v>
      </x:c>
      <x:c r="H464" t="n">
        <x:f>--AND(F464=1,D464='Calculator'!$B$4)</x:f>
        <x:v>0</x:v>
      </x:c>
      <x:c r="I464" t="n">
        <x:f>--AND(H464=1,G464=1)</x:f>
        <x:v>0</x:v>
      </x:c>
      <x:c r="J464" t="n">
        <x:f>--AND(F464=1,E464='Calculator'!$B$4)</x:f>
        <x:v>0</x:v>
      </x:c>
      <x:c r="K464" t="n">
        <x:f>--AND(J464=1,G464=1)</x:f>
        <x:v>0</x:v>
      </x:c>
      <x:c r="L464" t="str">
        <x:f>A464&amp;"/"&amp;B464&amp;"/"&amp;C464</x:f>
        <x:v>10/12/8</x:v>
      </x:c>
      <x:c r="M464" t="str">
        <x:f>MIN(15,A464+'Calculator'!$B$6)&amp;"/"&amp;MIN(15,B464+'Calculator'!$B$6)&amp;"/"&amp;MIN(15,C464+'Calculator'!$B$6)</x:f>
        <x:v>12/14/10</x:v>
      </x:c>
    </x:row>
    <x:row r="465">
      <x:c r="A465" t="n">
        <x:v>10</x:v>
      </x:c>
      <x:c r="B465" t="n">
        <x:v>12</x:v>
      </x:c>
      <x:c r="C465" t="n">
        <x:v>9</x:v>
      </x:c>
      <x:c r="D465" t="n">
        <x:f>MAX(10,ROUNDDOWN((('Calculator'!$B$10+A465)*SQRT('Calculator'!$B$11+B465)*SQRT('Calculator'!$B$12+C465)*0.59740001^2)/10,0))</x:f>
        <x:v>2301</x:v>
      </x:c>
      <x:c r="E465" t="n">
        <x:f>MAX(10,ROUNDDOWN((('Calculator'!$B$10+A465)*SQRT('Calculator'!$B$11+B465)*SQRT('Calculator'!$B$12+C465)*0.667934^2)/10,0))</x:f>
        <x:v>2876</x:v>
      </x:c>
      <x:c r="F465" t="n">
        <x:f>--AND(A465&gt;='Calculator'!$B$5,B465&gt;='Calculator'!$B$5,C465&gt;='Calculator'!$B$5)</x:f>
        <x:v>1</x:v>
      </x:c>
      <x:c r="G465" t="n">
        <x:f>--AND(A465+'Calculator'!$B$6&gt;=15,B465+'Calculator'!$B$6&gt;=15,C465+'Calculator'!$B$6&gt;=15)</x:f>
        <x:v>0</x:v>
      </x:c>
      <x:c r="H465" t="n">
        <x:f>--AND(F465=1,D465='Calculator'!$B$4)</x:f>
        <x:v>0</x:v>
      </x:c>
      <x:c r="I465" t="n">
        <x:f>--AND(H465=1,G465=1)</x:f>
        <x:v>0</x:v>
      </x:c>
      <x:c r="J465" t="n">
        <x:f>--AND(F465=1,E465='Calculator'!$B$4)</x:f>
        <x:v>0</x:v>
      </x:c>
      <x:c r="K465" t="n">
        <x:f>--AND(J465=1,G465=1)</x:f>
        <x:v>0</x:v>
      </x:c>
      <x:c r="L465" t="str">
        <x:f>A465&amp;"/"&amp;B465&amp;"/"&amp;C465</x:f>
        <x:v>10/12/9</x:v>
      </x:c>
      <x:c r="M465" t="str">
        <x:f>MIN(15,A465+'Calculator'!$B$6)&amp;"/"&amp;MIN(15,B465+'Calculator'!$B$6)&amp;"/"&amp;MIN(15,C465+'Calculator'!$B$6)</x:f>
        <x:v>12/14/11</x:v>
      </x:c>
    </x:row>
    <x:row r="466">
      <x:c r="A466" t="n">
        <x:v>10</x:v>
      </x:c>
      <x:c r="B466" t="n">
        <x:v>12</x:v>
      </x:c>
      <x:c r="C466" t="n">
        <x:v>10</x:v>
      </x:c>
      <x:c r="D466" t="n">
        <x:f>MAX(10,ROUNDDOWN((('Calculator'!$B$10+A466)*SQRT('Calculator'!$B$11+B466)*SQRT('Calculator'!$B$12+C466)*0.59740001^2)/10,0))</x:f>
        <x:v>2306</x:v>
      </x:c>
      <x:c r="E466" t="n">
        <x:f>MAX(10,ROUNDDOWN((('Calculator'!$B$10+A466)*SQRT('Calculator'!$B$11+B466)*SQRT('Calculator'!$B$12+C466)*0.667934^2)/10,0))</x:f>
        <x:v>2883</x:v>
      </x:c>
      <x:c r="F466" t="n">
        <x:f>--AND(A466&gt;='Calculator'!$B$5,B466&gt;='Calculator'!$B$5,C466&gt;='Calculator'!$B$5)</x:f>
        <x:v>1</x:v>
      </x:c>
      <x:c r="G466" t="n">
        <x:f>--AND(A466+'Calculator'!$B$6&gt;=15,B466+'Calculator'!$B$6&gt;=15,C466+'Calculator'!$B$6&gt;=15)</x:f>
        <x:v>0</x:v>
      </x:c>
      <x:c r="H466" t="n">
        <x:f>--AND(F466=1,D466='Calculator'!$B$4)</x:f>
        <x:v>0</x:v>
      </x:c>
      <x:c r="I466" t="n">
        <x:f>--AND(H466=1,G466=1)</x:f>
        <x:v>0</x:v>
      </x:c>
      <x:c r="J466" t="n">
        <x:f>--AND(F466=1,E466='Calculator'!$B$4)</x:f>
        <x:v>0</x:v>
      </x:c>
      <x:c r="K466" t="n">
        <x:f>--AND(J466=1,G466=1)</x:f>
        <x:v>0</x:v>
      </x:c>
      <x:c r="L466" t="str">
        <x:f>A466&amp;"/"&amp;B466&amp;"/"&amp;C466</x:f>
        <x:v>10/12/10</x:v>
      </x:c>
      <x:c r="M466" t="str">
        <x:f>MIN(15,A466+'Calculator'!$B$6)&amp;"/"&amp;MIN(15,B466+'Calculator'!$B$6)&amp;"/"&amp;MIN(15,C466+'Calculator'!$B$6)</x:f>
        <x:v>12/14/12</x:v>
      </x:c>
    </x:row>
    <x:row r="467">
      <x:c r="A467" t="n">
        <x:v>10</x:v>
      </x:c>
      <x:c r="B467" t="n">
        <x:v>12</x:v>
      </x:c>
      <x:c r="C467" t="n">
        <x:v>11</x:v>
      </x:c>
      <x:c r="D467" t="n">
        <x:f>MAX(10,ROUNDDOWN((('Calculator'!$B$10+A467)*SQRT('Calculator'!$B$11+B467)*SQRT('Calculator'!$B$12+C467)*0.59740001^2)/10,0))</x:f>
        <x:v>2311</x:v>
      </x:c>
      <x:c r="E467" t="n">
        <x:f>MAX(10,ROUNDDOWN((('Calculator'!$B$10+A467)*SQRT('Calculator'!$B$11+B467)*SQRT('Calculator'!$B$12+C467)*0.667934^2)/10,0))</x:f>
        <x:v>2889</x:v>
      </x:c>
      <x:c r="F467" t="n">
        <x:f>--AND(A467&gt;='Calculator'!$B$5,B467&gt;='Calculator'!$B$5,C467&gt;='Calculator'!$B$5)</x:f>
        <x:v>1</x:v>
      </x:c>
      <x:c r="G467" t="n">
        <x:f>--AND(A467+'Calculator'!$B$6&gt;=15,B467+'Calculator'!$B$6&gt;=15,C467+'Calculator'!$B$6&gt;=15)</x:f>
        <x:v>0</x:v>
      </x:c>
      <x:c r="H467" t="n">
        <x:f>--AND(F467=1,D467='Calculator'!$B$4)</x:f>
        <x:v>0</x:v>
      </x:c>
      <x:c r="I467" t="n">
        <x:f>--AND(H467=1,G467=1)</x:f>
        <x:v>0</x:v>
      </x:c>
      <x:c r="J467" t="n">
        <x:f>--AND(F467=1,E467='Calculator'!$B$4)</x:f>
        <x:v>0</x:v>
      </x:c>
      <x:c r="K467" t="n">
        <x:f>--AND(J467=1,G467=1)</x:f>
        <x:v>0</x:v>
      </x:c>
      <x:c r="L467" t="str">
        <x:f>A467&amp;"/"&amp;B467&amp;"/"&amp;C467</x:f>
        <x:v>10/12/11</x:v>
      </x:c>
      <x:c r="M467" t="str">
        <x:f>MIN(15,A467+'Calculator'!$B$6)&amp;"/"&amp;MIN(15,B467+'Calculator'!$B$6)&amp;"/"&amp;MIN(15,C467+'Calculator'!$B$6)</x:f>
        <x:v>12/14/13</x:v>
      </x:c>
    </x:row>
    <x:row r="468">
      <x:c r="A468" t="n">
        <x:v>10</x:v>
      </x:c>
      <x:c r="B468" t="n">
        <x:v>12</x:v>
      </x:c>
      <x:c r="C468" t="n">
        <x:v>12</x:v>
      </x:c>
      <x:c r="D468" t="n">
        <x:f>MAX(10,ROUNDDOWN((('Calculator'!$B$10+A468)*SQRT('Calculator'!$B$11+B468)*SQRT('Calculator'!$B$12+C468)*0.59740001^2)/10,0))</x:f>
        <x:v>2316</x:v>
      </x:c>
      <x:c r="E468" t="n">
        <x:f>MAX(10,ROUNDDOWN((('Calculator'!$B$10+A468)*SQRT('Calculator'!$B$11+B468)*SQRT('Calculator'!$B$12+C468)*0.667934^2)/10,0))</x:f>
        <x:v>2895</x:v>
      </x:c>
      <x:c r="F468" t="n">
        <x:f>--AND(A468&gt;='Calculator'!$B$5,B468&gt;='Calculator'!$B$5,C468&gt;='Calculator'!$B$5)</x:f>
        <x:v>1</x:v>
      </x:c>
      <x:c r="G468" t="n">
        <x:f>--AND(A468+'Calculator'!$B$6&gt;=15,B468+'Calculator'!$B$6&gt;=15,C468+'Calculator'!$B$6&gt;=15)</x:f>
        <x:v>0</x:v>
      </x:c>
      <x:c r="H468" t="n">
        <x:f>--AND(F468=1,D468='Calculator'!$B$4)</x:f>
        <x:v>0</x:v>
      </x:c>
      <x:c r="I468" t="n">
        <x:f>--AND(H468=1,G468=1)</x:f>
        <x:v>0</x:v>
      </x:c>
      <x:c r="J468" t="n">
        <x:f>--AND(F468=1,E468='Calculator'!$B$4)</x:f>
        <x:v>0</x:v>
      </x:c>
      <x:c r="K468" t="n">
        <x:f>--AND(J468=1,G468=1)</x:f>
        <x:v>0</x:v>
      </x:c>
      <x:c r="L468" t="str">
        <x:f>A468&amp;"/"&amp;B468&amp;"/"&amp;C468</x:f>
        <x:v>10/12/12</x:v>
      </x:c>
      <x:c r="M468" t="str">
        <x:f>MIN(15,A468+'Calculator'!$B$6)&amp;"/"&amp;MIN(15,B468+'Calculator'!$B$6)&amp;"/"&amp;MIN(15,C468+'Calculator'!$B$6)</x:f>
        <x:v>12/14/14</x:v>
      </x:c>
    </x:row>
    <x:row r="469">
      <x:c r="A469" t="n">
        <x:v>10</x:v>
      </x:c>
      <x:c r="B469" t="n">
        <x:v>12</x:v>
      </x:c>
      <x:c r="C469" t="n">
        <x:v>13</x:v>
      </x:c>
      <x:c r="D469" t="n">
        <x:f>MAX(10,ROUNDDOWN((('Calculator'!$B$10+A469)*SQRT('Calculator'!$B$11+B469)*SQRT('Calculator'!$B$12+C469)*0.59740001^2)/10,0))</x:f>
        <x:v>2321</x:v>
      </x:c>
      <x:c r="E469" t="n">
        <x:f>MAX(10,ROUNDDOWN((('Calculator'!$B$10+A469)*SQRT('Calculator'!$B$11+B469)*SQRT('Calculator'!$B$12+C469)*0.667934^2)/10,0))</x:f>
        <x:v>2902</x:v>
      </x:c>
      <x:c r="F469" t="n">
        <x:f>--AND(A469&gt;='Calculator'!$B$5,B469&gt;='Calculator'!$B$5,C469&gt;='Calculator'!$B$5)</x:f>
        <x:v>1</x:v>
      </x:c>
      <x:c r="G469" t="n">
        <x:f>--AND(A469+'Calculator'!$B$6&gt;=15,B469+'Calculator'!$B$6&gt;=15,C469+'Calculator'!$B$6&gt;=15)</x:f>
        <x:v>0</x:v>
      </x:c>
      <x:c r="H469" t="n">
        <x:f>--AND(F469=1,D469='Calculator'!$B$4)</x:f>
        <x:v>0</x:v>
      </x:c>
      <x:c r="I469" t="n">
        <x:f>--AND(H469=1,G469=1)</x:f>
        <x:v>0</x:v>
      </x:c>
      <x:c r="J469" t="n">
        <x:f>--AND(F469=1,E469='Calculator'!$B$4)</x:f>
        <x:v>0</x:v>
      </x:c>
      <x:c r="K469" t="n">
        <x:f>--AND(J469=1,G469=1)</x:f>
        <x:v>0</x:v>
      </x:c>
      <x:c r="L469" t="str">
        <x:f>A469&amp;"/"&amp;B469&amp;"/"&amp;C469</x:f>
        <x:v>10/12/13</x:v>
      </x:c>
      <x:c r="M469" t="str">
        <x:f>MIN(15,A469+'Calculator'!$B$6)&amp;"/"&amp;MIN(15,B469+'Calculator'!$B$6)&amp;"/"&amp;MIN(15,C469+'Calculator'!$B$6)</x:f>
        <x:v>12/14/15</x:v>
      </x:c>
    </x:row>
    <x:row r="470">
      <x:c r="A470" t="n">
        <x:v>10</x:v>
      </x:c>
      <x:c r="B470" t="n">
        <x:v>12</x:v>
      </x:c>
      <x:c r="C470" t="n">
        <x:v>14</x:v>
      </x:c>
      <x:c r="D470" t="n">
        <x:f>MAX(10,ROUNDDOWN((('Calculator'!$B$10+A470)*SQRT('Calculator'!$B$11+B470)*SQRT('Calculator'!$B$12+C470)*0.59740001^2)/10,0))</x:f>
        <x:v>2326</x:v>
      </x:c>
      <x:c r="E470" t="n">
        <x:f>MAX(10,ROUNDDOWN((('Calculator'!$B$10+A470)*SQRT('Calculator'!$B$11+B470)*SQRT('Calculator'!$B$12+C470)*0.667934^2)/10,0))</x:f>
        <x:v>2908</x:v>
      </x:c>
      <x:c r="F470" t="n">
        <x:f>--AND(A470&gt;='Calculator'!$B$5,B470&gt;='Calculator'!$B$5,C470&gt;='Calculator'!$B$5)</x:f>
        <x:v>1</x:v>
      </x:c>
      <x:c r="G470" t="n">
        <x:f>--AND(A470+'Calculator'!$B$6&gt;=15,B470+'Calculator'!$B$6&gt;=15,C470+'Calculator'!$B$6&gt;=15)</x:f>
        <x:v>0</x:v>
      </x:c>
      <x:c r="H470" t="n">
        <x:f>--AND(F470=1,D470='Calculator'!$B$4)</x:f>
        <x:v>0</x:v>
      </x:c>
      <x:c r="I470" t="n">
        <x:f>--AND(H470=1,G470=1)</x:f>
        <x:v>0</x:v>
      </x:c>
      <x:c r="J470" t="n">
        <x:f>--AND(F470=1,E470='Calculator'!$B$4)</x:f>
        <x:v>0</x:v>
      </x:c>
      <x:c r="K470" t="n">
        <x:f>--AND(J470=1,G470=1)</x:f>
        <x:v>0</x:v>
      </x:c>
      <x:c r="L470" t="str">
        <x:f>A470&amp;"/"&amp;B470&amp;"/"&amp;C470</x:f>
        <x:v>10/12/14</x:v>
      </x:c>
      <x:c r="M470" t="str">
        <x:f>MIN(15,A470+'Calculator'!$B$6)&amp;"/"&amp;MIN(15,B470+'Calculator'!$B$6)&amp;"/"&amp;MIN(15,C470+'Calculator'!$B$6)</x:f>
        <x:v>12/14/15</x:v>
      </x:c>
    </x:row>
    <x:row r="471">
      <x:c r="A471" t="n">
        <x:v>10</x:v>
      </x:c>
      <x:c r="B471" t="n">
        <x:v>12</x:v>
      </x:c>
      <x:c r="C471" t="n">
        <x:v>15</x:v>
      </x:c>
      <x:c r="D471" t="n">
        <x:f>MAX(10,ROUNDDOWN((('Calculator'!$B$10+A471)*SQRT('Calculator'!$B$11+B471)*SQRT('Calculator'!$B$12+C471)*0.59740001^2)/10,0))</x:f>
        <x:v>2331</x:v>
      </x:c>
      <x:c r="E471" t="n">
        <x:f>MAX(10,ROUNDDOWN((('Calculator'!$B$10+A471)*SQRT('Calculator'!$B$11+B471)*SQRT('Calculator'!$B$12+C471)*0.667934^2)/10,0))</x:f>
        <x:v>2915</x:v>
      </x:c>
      <x:c r="F471" t="n">
        <x:f>--AND(A471&gt;='Calculator'!$B$5,B471&gt;='Calculator'!$B$5,C471&gt;='Calculator'!$B$5)</x:f>
        <x:v>1</x:v>
      </x:c>
      <x:c r="G471" t="n">
        <x:f>--AND(A471+'Calculator'!$B$6&gt;=15,B471+'Calculator'!$B$6&gt;=15,C471+'Calculator'!$B$6&gt;=15)</x:f>
        <x:v>0</x:v>
      </x:c>
      <x:c r="H471" t="n">
        <x:f>--AND(F471=1,D471='Calculator'!$B$4)</x:f>
        <x:v>0</x:v>
      </x:c>
      <x:c r="I471" t="n">
        <x:f>--AND(H471=1,G471=1)</x:f>
        <x:v>0</x:v>
      </x:c>
      <x:c r="J471" t="n">
        <x:f>--AND(F471=1,E471='Calculator'!$B$4)</x:f>
        <x:v>0</x:v>
      </x:c>
      <x:c r="K471" t="n">
        <x:f>--AND(J471=1,G471=1)</x:f>
        <x:v>0</x:v>
      </x:c>
      <x:c r="L471" t="str">
        <x:f>A471&amp;"/"&amp;B471&amp;"/"&amp;C471</x:f>
        <x:v>10/12/15</x:v>
      </x:c>
      <x:c r="M471" t="str">
        <x:f>MIN(15,A471+'Calculator'!$B$6)&amp;"/"&amp;MIN(15,B471+'Calculator'!$B$6)&amp;"/"&amp;MIN(15,C471+'Calculator'!$B$6)</x:f>
        <x:v>12/14/15</x:v>
      </x:c>
    </x:row>
    <x:row r="472">
      <x:c r="A472" t="n">
        <x:v>10</x:v>
      </x:c>
      <x:c r="B472" t="n">
        <x:v>13</x:v>
      </x:c>
      <x:c r="C472" t="n">
        <x:v>6</x:v>
      </x:c>
      <x:c r="D472" t="n">
        <x:f>MAX(10,ROUNDDOWN((('Calculator'!$B$10+A472)*SQRT('Calculator'!$B$11+B472)*SQRT('Calculator'!$B$12+C472)*0.59740001^2)/10,0))</x:f>
        <x:v>2291</x:v>
      </x:c>
      <x:c r="E472" t="n">
        <x:f>MAX(10,ROUNDDOWN((('Calculator'!$B$10+A472)*SQRT('Calculator'!$B$11+B472)*SQRT('Calculator'!$B$12+C472)*0.667934^2)/10,0))</x:f>
        <x:v>2864</x:v>
      </x:c>
      <x:c r="F472" t="n">
        <x:f>--AND(A472&gt;='Calculator'!$B$5,B472&gt;='Calculator'!$B$5,C472&gt;='Calculator'!$B$5)</x:f>
        <x:v>1</x:v>
      </x:c>
      <x:c r="G472" t="n">
        <x:f>--AND(A472+'Calculator'!$B$6&gt;=15,B472+'Calculator'!$B$6&gt;=15,C472+'Calculator'!$B$6&gt;=15)</x:f>
        <x:v>0</x:v>
      </x:c>
      <x:c r="H472" t="n">
        <x:f>--AND(F472=1,D472='Calculator'!$B$4)</x:f>
        <x:v>0</x:v>
      </x:c>
      <x:c r="I472" t="n">
        <x:f>--AND(H472=1,G472=1)</x:f>
        <x:v>0</x:v>
      </x:c>
      <x:c r="J472" t="n">
        <x:f>--AND(F472=1,E472='Calculator'!$B$4)</x:f>
        <x:v>0</x:v>
      </x:c>
      <x:c r="K472" t="n">
        <x:f>--AND(J472=1,G472=1)</x:f>
        <x:v>0</x:v>
      </x:c>
      <x:c r="L472" t="str">
        <x:f>A472&amp;"/"&amp;B472&amp;"/"&amp;C472</x:f>
        <x:v>10/13/6</x:v>
      </x:c>
      <x:c r="M472" t="str">
        <x:f>MIN(15,A472+'Calculator'!$B$6)&amp;"/"&amp;MIN(15,B472+'Calculator'!$B$6)&amp;"/"&amp;MIN(15,C472+'Calculator'!$B$6)</x:f>
        <x:v>12/15/8</x:v>
      </x:c>
    </x:row>
    <x:row r="473">
      <x:c r="A473" t="n">
        <x:v>10</x:v>
      </x:c>
      <x:c r="B473" t="n">
        <x:v>13</x:v>
      </x:c>
      <x:c r="C473" t="n">
        <x:v>7</x:v>
      </x:c>
      <x:c r="D473" t="n">
        <x:f>MAX(10,ROUNDDOWN((('Calculator'!$B$10+A473)*SQRT('Calculator'!$B$11+B473)*SQRT('Calculator'!$B$12+C473)*0.59740001^2)/10,0))</x:f>
        <x:v>2296</x:v>
      </x:c>
      <x:c r="E473" t="n">
        <x:f>MAX(10,ROUNDDOWN((('Calculator'!$B$10+A473)*SQRT('Calculator'!$B$11+B473)*SQRT('Calculator'!$B$12+C473)*0.667934^2)/10,0))</x:f>
        <x:v>2871</x:v>
      </x:c>
      <x:c r="F473" t="n">
        <x:f>--AND(A473&gt;='Calculator'!$B$5,B473&gt;='Calculator'!$B$5,C473&gt;='Calculator'!$B$5)</x:f>
        <x:v>1</x:v>
      </x:c>
      <x:c r="G473" t="n">
        <x:f>--AND(A473+'Calculator'!$B$6&gt;=15,B473+'Calculator'!$B$6&gt;=15,C473+'Calculator'!$B$6&gt;=15)</x:f>
        <x:v>0</x:v>
      </x:c>
      <x:c r="H473" t="n">
        <x:f>--AND(F473=1,D473='Calculator'!$B$4)</x:f>
        <x:v>0</x:v>
      </x:c>
      <x:c r="I473" t="n">
        <x:f>--AND(H473=1,G473=1)</x:f>
        <x:v>0</x:v>
      </x:c>
      <x:c r="J473" t="n">
        <x:f>--AND(F473=1,E473='Calculator'!$B$4)</x:f>
        <x:v>0</x:v>
      </x:c>
      <x:c r="K473" t="n">
        <x:f>--AND(J473=1,G473=1)</x:f>
        <x:v>0</x:v>
      </x:c>
      <x:c r="L473" t="str">
        <x:f>A473&amp;"/"&amp;B473&amp;"/"&amp;C473</x:f>
        <x:v>10/13/7</x:v>
      </x:c>
      <x:c r="M473" t="str">
        <x:f>MIN(15,A473+'Calculator'!$B$6)&amp;"/"&amp;MIN(15,B473+'Calculator'!$B$6)&amp;"/"&amp;MIN(15,C473+'Calculator'!$B$6)</x:f>
        <x:v>12/15/9</x:v>
      </x:c>
    </x:row>
    <x:row r="474">
      <x:c r="A474" t="n">
        <x:v>10</x:v>
      </x:c>
      <x:c r="B474" t="n">
        <x:v>13</x:v>
      </x:c>
      <x:c r="C474" t="n">
        <x:v>8</x:v>
      </x:c>
      <x:c r="D474" t="n">
        <x:f>MAX(10,ROUNDDOWN((('Calculator'!$B$10+A474)*SQRT('Calculator'!$B$11+B474)*SQRT('Calculator'!$B$12+C474)*0.59740001^2)/10,0))</x:f>
        <x:v>2301</x:v>
      </x:c>
      <x:c r="E474" t="n">
        <x:f>MAX(10,ROUNDDOWN((('Calculator'!$B$10+A474)*SQRT('Calculator'!$B$11+B474)*SQRT('Calculator'!$B$12+C474)*0.667934^2)/10,0))</x:f>
        <x:v>2877</x:v>
      </x:c>
      <x:c r="F474" t="n">
        <x:f>--AND(A474&gt;='Calculator'!$B$5,B474&gt;='Calculator'!$B$5,C474&gt;='Calculator'!$B$5)</x:f>
        <x:v>1</x:v>
      </x:c>
      <x:c r="G474" t="n">
        <x:f>--AND(A474+'Calculator'!$B$6&gt;=15,B474+'Calculator'!$B$6&gt;=15,C474+'Calculator'!$B$6&gt;=15)</x:f>
        <x:v>0</x:v>
      </x:c>
      <x:c r="H474" t="n">
        <x:f>--AND(F474=1,D474='Calculator'!$B$4)</x:f>
        <x:v>0</x:v>
      </x:c>
      <x:c r="I474" t="n">
        <x:f>--AND(H474=1,G474=1)</x:f>
        <x:v>0</x:v>
      </x:c>
      <x:c r="J474" t="n">
        <x:f>--AND(F474=1,E474='Calculator'!$B$4)</x:f>
        <x:v>0</x:v>
      </x:c>
      <x:c r="K474" t="n">
        <x:f>--AND(J474=1,G474=1)</x:f>
        <x:v>0</x:v>
      </x:c>
      <x:c r="L474" t="str">
        <x:f>A474&amp;"/"&amp;B474&amp;"/"&amp;C474</x:f>
        <x:v>10/13/8</x:v>
      </x:c>
      <x:c r="M474" t="str">
        <x:f>MIN(15,A474+'Calculator'!$B$6)&amp;"/"&amp;MIN(15,B474+'Calculator'!$B$6)&amp;"/"&amp;MIN(15,C474+'Calculator'!$B$6)</x:f>
        <x:v>12/15/10</x:v>
      </x:c>
    </x:row>
    <x:row r="475">
      <x:c r="A475" t="n">
        <x:v>10</x:v>
      </x:c>
      <x:c r="B475" t="n">
        <x:v>13</x:v>
      </x:c>
      <x:c r="C475" t="n">
        <x:v>9</x:v>
      </x:c>
      <x:c r="D475" t="n">
        <x:f>MAX(10,ROUNDDOWN((('Calculator'!$B$10+A475)*SQRT('Calculator'!$B$11+B475)*SQRT('Calculator'!$B$12+C475)*0.59740001^2)/10,0))</x:f>
        <x:v>2307</x:v>
      </x:c>
      <x:c r="E475" t="n">
        <x:f>MAX(10,ROUNDDOWN((('Calculator'!$B$10+A475)*SQRT('Calculator'!$B$11+B475)*SQRT('Calculator'!$B$12+C475)*0.667934^2)/10,0))</x:f>
        <x:v>2884</x:v>
      </x:c>
      <x:c r="F475" t="n">
        <x:f>--AND(A475&gt;='Calculator'!$B$5,B475&gt;='Calculator'!$B$5,C475&gt;='Calculator'!$B$5)</x:f>
        <x:v>1</x:v>
      </x:c>
      <x:c r="G475" t="n">
        <x:f>--AND(A475+'Calculator'!$B$6&gt;=15,B475+'Calculator'!$B$6&gt;=15,C475+'Calculator'!$B$6&gt;=15)</x:f>
        <x:v>0</x:v>
      </x:c>
      <x:c r="H475" t="n">
        <x:f>--AND(F475=1,D475='Calculator'!$B$4)</x:f>
        <x:v>0</x:v>
      </x:c>
      <x:c r="I475" t="n">
        <x:f>--AND(H475=1,G475=1)</x:f>
        <x:v>0</x:v>
      </x:c>
      <x:c r="J475" t="n">
        <x:f>--AND(F475=1,E475='Calculator'!$B$4)</x:f>
        <x:v>0</x:v>
      </x:c>
      <x:c r="K475" t="n">
        <x:f>--AND(J475=1,G475=1)</x:f>
        <x:v>0</x:v>
      </x:c>
      <x:c r="L475" t="str">
        <x:f>A475&amp;"/"&amp;B475&amp;"/"&amp;C475</x:f>
        <x:v>10/13/9</x:v>
      </x:c>
      <x:c r="M475" t="str">
        <x:f>MIN(15,A475+'Calculator'!$B$6)&amp;"/"&amp;MIN(15,B475+'Calculator'!$B$6)&amp;"/"&amp;MIN(15,C475+'Calculator'!$B$6)</x:f>
        <x:v>12/15/11</x:v>
      </x:c>
    </x:row>
    <x:row r="476">
      <x:c r="A476" t="n">
        <x:v>10</x:v>
      </x:c>
      <x:c r="B476" t="n">
        <x:v>13</x:v>
      </x:c>
      <x:c r="C476" t="n">
        <x:v>10</x:v>
      </x:c>
      <x:c r="D476" t="n">
        <x:f>MAX(10,ROUNDDOWN((('Calculator'!$B$10+A476)*SQRT('Calculator'!$B$11+B476)*SQRT('Calculator'!$B$12+C476)*0.59740001^2)/10,0))</x:f>
        <x:v>2312</x:v>
      </x:c>
      <x:c r="E476" t="n">
        <x:f>MAX(10,ROUNDDOWN((('Calculator'!$B$10+A476)*SQRT('Calculator'!$B$11+B476)*SQRT('Calculator'!$B$12+C476)*0.667934^2)/10,0))</x:f>
        <x:v>2890</x:v>
      </x:c>
      <x:c r="F476" t="n">
        <x:f>--AND(A476&gt;='Calculator'!$B$5,B476&gt;='Calculator'!$B$5,C476&gt;='Calculator'!$B$5)</x:f>
        <x:v>1</x:v>
      </x:c>
      <x:c r="G476" t="n">
        <x:f>--AND(A476+'Calculator'!$B$6&gt;=15,B476+'Calculator'!$B$6&gt;=15,C476+'Calculator'!$B$6&gt;=15)</x:f>
        <x:v>0</x:v>
      </x:c>
      <x:c r="H476" t="n">
        <x:f>--AND(F476=1,D476='Calculator'!$B$4)</x:f>
        <x:v>0</x:v>
      </x:c>
      <x:c r="I476" t="n">
        <x:f>--AND(H476=1,G476=1)</x:f>
        <x:v>0</x:v>
      </x:c>
      <x:c r="J476" t="n">
        <x:f>--AND(F476=1,E476='Calculator'!$B$4)</x:f>
        <x:v>0</x:v>
      </x:c>
      <x:c r="K476" t="n">
        <x:f>--AND(J476=1,G476=1)</x:f>
        <x:v>0</x:v>
      </x:c>
      <x:c r="L476" t="str">
        <x:f>A476&amp;"/"&amp;B476&amp;"/"&amp;C476</x:f>
        <x:v>10/13/10</x:v>
      </x:c>
      <x:c r="M476" t="str">
        <x:f>MIN(15,A476+'Calculator'!$B$6)&amp;"/"&amp;MIN(15,B476+'Calculator'!$B$6)&amp;"/"&amp;MIN(15,C476+'Calculator'!$B$6)</x:f>
        <x:v>12/15/12</x:v>
      </x:c>
    </x:row>
    <x:row r="477">
      <x:c r="A477" t="n">
        <x:v>10</x:v>
      </x:c>
      <x:c r="B477" t="n">
        <x:v>13</x:v>
      </x:c>
      <x:c r="C477" t="n">
        <x:v>11</x:v>
      </x:c>
      <x:c r="D477" t="n">
        <x:f>MAX(10,ROUNDDOWN((('Calculator'!$B$10+A477)*SQRT('Calculator'!$B$11+B477)*SQRT('Calculator'!$B$12+C477)*0.59740001^2)/10,0))</x:f>
        <x:v>2317</x:v>
      </x:c>
      <x:c r="E477" t="n">
        <x:f>MAX(10,ROUNDDOWN((('Calculator'!$B$10+A477)*SQRT('Calculator'!$B$11+B477)*SQRT('Calculator'!$B$12+C477)*0.667934^2)/10,0))</x:f>
        <x:v>2896</x:v>
      </x:c>
      <x:c r="F477" t="n">
        <x:f>--AND(A477&gt;='Calculator'!$B$5,B477&gt;='Calculator'!$B$5,C477&gt;='Calculator'!$B$5)</x:f>
        <x:v>1</x:v>
      </x:c>
      <x:c r="G477" t="n">
        <x:f>--AND(A477+'Calculator'!$B$6&gt;=15,B477+'Calculator'!$B$6&gt;=15,C477+'Calculator'!$B$6&gt;=15)</x:f>
        <x:v>0</x:v>
      </x:c>
      <x:c r="H477" t="n">
        <x:f>--AND(F477=1,D477='Calculator'!$B$4)</x:f>
        <x:v>0</x:v>
      </x:c>
      <x:c r="I477" t="n">
        <x:f>--AND(H477=1,G477=1)</x:f>
        <x:v>0</x:v>
      </x:c>
      <x:c r="J477" t="n">
        <x:f>--AND(F477=1,E477='Calculator'!$B$4)</x:f>
        <x:v>0</x:v>
      </x:c>
      <x:c r="K477" t="n">
        <x:f>--AND(J477=1,G477=1)</x:f>
        <x:v>0</x:v>
      </x:c>
      <x:c r="L477" t="str">
        <x:f>A477&amp;"/"&amp;B477&amp;"/"&amp;C477</x:f>
        <x:v>10/13/11</x:v>
      </x:c>
      <x:c r="M477" t="str">
        <x:f>MIN(15,A477+'Calculator'!$B$6)&amp;"/"&amp;MIN(15,B477+'Calculator'!$B$6)&amp;"/"&amp;MIN(15,C477+'Calculator'!$B$6)</x:f>
        <x:v>12/15/13</x:v>
      </x:c>
    </x:row>
    <x:row r="478">
      <x:c r="A478" t="n">
        <x:v>10</x:v>
      </x:c>
      <x:c r="B478" t="n">
        <x:v>13</x:v>
      </x:c>
      <x:c r="C478" t="n">
        <x:v>12</x:v>
      </x:c>
      <x:c r="D478" t="n">
        <x:f>MAX(10,ROUNDDOWN((('Calculator'!$B$10+A478)*SQRT('Calculator'!$B$11+B478)*SQRT('Calculator'!$B$12+C478)*0.59740001^2)/10,0))</x:f>
        <x:v>2322</x:v>
      </x:c>
      <x:c r="E478" t="n">
        <x:f>MAX(10,ROUNDDOWN((('Calculator'!$B$10+A478)*SQRT('Calculator'!$B$11+B478)*SQRT('Calculator'!$B$12+C478)*0.667934^2)/10,0))</x:f>
        <x:v>2903</x:v>
      </x:c>
      <x:c r="F478" t="n">
        <x:f>--AND(A478&gt;='Calculator'!$B$5,B478&gt;='Calculator'!$B$5,C478&gt;='Calculator'!$B$5)</x:f>
        <x:v>1</x:v>
      </x:c>
      <x:c r="G478" t="n">
        <x:f>--AND(A478+'Calculator'!$B$6&gt;=15,B478+'Calculator'!$B$6&gt;=15,C478+'Calculator'!$B$6&gt;=15)</x:f>
        <x:v>0</x:v>
      </x:c>
      <x:c r="H478" t="n">
        <x:f>--AND(F478=1,D478='Calculator'!$B$4)</x:f>
        <x:v>0</x:v>
      </x:c>
      <x:c r="I478" t="n">
        <x:f>--AND(H478=1,G478=1)</x:f>
        <x:v>0</x:v>
      </x:c>
      <x:c r="J478" t="n">
        <x:f>--AND(F478=1,E478='Calculator'!$B$4)</x:f>
        <x:v>0</x:v>
      </x:c>
      <x:c r="K478" t="n">
        <x:f>--AND(J478=1,G478=1)</x:f>
        <x:v>0</x:v>
      </x:c>
      <x:c r="L478" t="str">
        <x:f>A478&amp;"/"&amp;B478&amp;"/"&amp;C478</x:f>
        <x:v>10/13/12</x:v>
      </x:c>
      <x:c r="M478" t="str">
        <x:f>MIN(15,A478+'Calculator'!$B$6)&amp;"/"&amp;MIN(15,B478+'Calculator'!$B$6)&amp;"/"&amp;MIN(15,C478+'Calculator'!$B$6)</x:f>
        <x:v>12/15/14</x:v>
      </x:c>
    </x:row>
    <x:row r="479">
      <x:c r="A479" t="n">
        <x:v>10</x:v>
      </x:c>
      <x:c r="B479" t="n">
        <x:v>13</x:v>
      </x:c>
      <x:c r="C479" t="n">
        <x:v>13</x:v>
      </x:c>
      <x:c r="D479" t="n">
        <x:f>MAX(10,ROUNDDOWN((('Calculator'!$B$10+A479)*SQRT('Calculator'!$B$11+B479)*SQRT('Calculator'!$B$12+C479)*0.59740001^2)/10,0))</x:f>
        <x:v>2327</x:v>
      </x:c>
      <x:c r="E479" t="n">
        <x:f>MAX(10,ROUNDDOWN((('Calculator'!$B$10+A479)*SQRT('Calculator'!$B$11+B479)*SQRT('Calculator'!$B$12+C479)*0.667934^2)/10,0))</x:f>
        <x:v>2909</x:v>
      </x:c>
      <x:c r="F479" t="n">
        <x:f>--AND(A479&gt;='Calculator'!$B$5,B479&gt;='Calculator'!$B$5,C479&gt;='Calculator'!$B$5)</x:f>
        <x:v>1</x:v>
      </x:c>
      <x:c r="G479" t="n">
        <x:f>--AND(A479+'Calculator'!$B$6&gt;=15,B479+'Calculator'!$B$6&gt;=15,C479+'Calculator'!$B$6&gt;=15)</x:f>
        <x:v>0</x:v>
      </x:c>
      <x:c r="H479" t="n">
        <x:f>--AND(F479=1,D479='Calculator'!$B$4)</x:f>
        <x:v>0</x:v>
      </x:c>
      <x:c r="I479" t="n">
        <x:f>--AND(H479=1,G479=1)</x:f>
        <x:v>0</x:v>
      </x:c>
      <x:c r="J479" t="n">
        <x:f>--AND(F479=1,E479='Calculator'!$B$4)</x:f>
        <x:v>0</x:v>
      </x:c>
      <x:c r="K479" t="n">
        <x:f>--AND(J479=1,G479=1)</x:f>
        <x:v>0</x:v>
      </x:c>
      <x:c r="L479" t="str">
        <x:f>A479&amp;"/"&amp;B479&amp;"/"&amp;C479</x:f>
        <x:v>10/13/13</x:v>
      </x:c>
      <x:c r="M479" t="str">
        <x:f>MIN(15,A479+'Calculator'!$B$6)&amp;"/"&amp;MIN(15,B479+'Calculator'!$B$6)&amp;"/"&amp;MIN(15,C479+'Calculator'!$B$6)</x:f>
        <x:v>12/15/15</x:v>
      </x:c>
    </x:row>
    <x:row r="480">
      <x:c r="A480" t="n">
        <x:v>10</x:v>
      </x:c>
      <x:c r="B480" t="n">
        <x:v>13</x:v>
      </x:c>
      <x:c r="C480" t="n">
        <x:v>14</x:v>
      </x:c>
      <x:c r="D480" t="n">
        <x:f>MAX(10,ROUNDDOWN((('Calculator'!$B$10+A480)*SQRT('Calculator'!$B$11+B480)*SQRT('Calculator'!$B$12+C480)*0.59740001^2)/10,0))</x:f>
        <x:v>2332</x:v>
      </x:c>
      <x:c r="E480" t="n">
        <x:f>MAX(10,ROUNDDOWN((('Calculator'!$B$10+A480)*SQRT('Calculator'!$B$11+B480)*SQRT('Calculator'!$B$12+C480)*0.667934^2)/10,0))</x:f>
        <x:v>2916</x:v>
      </x:c>
      <x:c r="F480" t="n">
        <x:f>--AND(A480&gt;='Calculator'!$B$5,B480&gt;='Calculator'!$B$5,C480&gt;='Calculator'!$B$5)</x:f>
        <x:v>1</x:v>
      </x:c>
      <x:c r="G480" t="n">
        <x:f>--AND(A480+'Calculator'!$B$6&gt;=15,B480+'Calculator'!$B$6&gt;=15,C480+'Calculator'!$B$6&gt;=15)</x:f>
        <x:v>0</x:v>
      </x:c>
      <x:c r="H480" t="n">
        <x:f>--AND(F480=1,D480='Calculator'!$B$4)</x:f>
        <x:v>0</x:v>
      </x:c>
      <x:c r="I480" t="n">
        <x:f>--AND(H480=1,G480=1)</x:f>
        <x:v>0</x:v>
      </x:c>
      <x:c r="J480" t="n">
        <x:f>--AND(F480=1,E480='Calculator'!$B$4)</x:f>
        <x:v>0</x:v>
      </x:c>
      <x:c r="K480" t="n">
        <x:f>--AND(J480=1,G480=1)</x:f>
        <x:v>0</x:v>
      </x:c>
      <x:c r="L480" t="str">
        <x:f>A480&amp;"/"&amp;B480&amp;"/"&amp;C480</x:f>
        <x:v>10/13/14</x:v>
      </x:c>
      <x:c r="M480" t="str">
        <x:f>MIN(15,A480+'Calculator'!$B$6)&amp;"/"&amp;MIN(15,B480+'Calculator'!$B$6)&amp;"/"&amp;MIN(15,C480+'Calculator'!$B$6)</x:f>
        <x:v>12/15/15</x:v>
      </x:c>
    </x:row>
    <x:row r="481">
      <x:c r="A481" t="n">
        <x:v>10</x:v>
      </x:c>
      <x:c r="B481" t="n">
        <x:v>13</x:v>
      </x:c>
      <x:c r="C481" t="n">
        <x:v>15</x:v>
      </x:c>
      <x:c r="D481" t="n">
        <x:f>MAX(10,ROUNDDOWN((('Calculator'!$B$10+A481)*SQRT('Calculator'!$B$11+B481)*SQRT('Calculator'!$B$12+C481)*0.59740001^2)/10,0))</x:f>
        <x:v>2337</x:v>
      </x:c>
      <x:c r="E481" t="n">
        <x:f>MAX(10,ROUNDDOWN((('Calculator'!$B$10+A481)*SQRT('Calculator'!$B$11+B481)*SQRT('Calculator'!$B$12+C481)*0.667934^2)/10,0))</x:f>
        <x:v>2922</x:v>
      </x:c>
      <x:c r="F481" t="n">
        <x:f>--AND(A481&gt;='Calculator'!$B$5,B481&gt;='Calculator'!$B$5,C481&gt;='Calculator'!$B$5)</x:f>
        <x:v>1</x:v>
      </x:c>
      <x:c r="G481" t="n">
        <x:f>--AND(A481+'Calculator'!$B$6&gt;=15,B481+'Calculator'!$B$6&gt;=15,C481+'Calculator'!$B$6&gt;=15)</x:f>
        <x:v>0</x:v>
      </x:c>
      <x:c r="H481" t="n">
        <x:f>--AND(F481=1,D481='Calculator'!$B$4)</x:f>
        <x:v>0</x:v>
      </x:c>
      <x:c r="I481" t="n">
        <x:f>--AND(H481=1,G481=1)</x:f>
        <x:v>0</x:v>
      </x:c>
      <x:c r="J481" t="n">
        <x:f>--AND(F481=1,E481='Calculator'!$B$4)</x:f>
        <x:v>0</x:v>
      </x:c>
      <x:c r="K481" t="n">
        <x:f>--AND(J481=1,G481=1)</x:f>
        <x:v>0</x:v>
      </x:c>
      <x:c r="L481" t="str">
        <x:f>A481&amp;"/"&amp;B481&amp;"/"&amp;C481</x:f>
        <x:v>10/13/15</x:v>
      </x:c>
      <x:c r="M481" t="str">
        <x:f>MIN(15,A481+'Calculator'!$B$6)&amp;"/"&amp;MIN(15,B481+'Calculator'!$B$6)&amp;"/"&amp;MIN(15,C481+'Calculator'!$B$6)</x:f>
        <x:v>12/15/15</x:v>
      </x:c>
    </x:row>
    <x:row r="482">
      <x:c r="A482" t="n">
        <x:v>10</x:v>
      </x:c>
      <x:c r="B482" t="n">
        <x:v>14</x:v>
      </x:c>
      <x:c r="C482" t="n">
        <x:v>6</x:v>
      </x:c>
      <x:c r="D482" t="n">
        <x:f>MAX(10,ROUNDDOWN((('Calculator'!$B$10+A482)*SQRT('Calculator'!$B$11+B482)*SQRT('Calculator'!$B$12+C482)*0.59740001^2)/10,0))</x:f>
        <x:v>2297</x:v>
      </x:c>
      <x:c r="E482" t="n">
        <x:f>MAX(10,ROUNDDOWN((('Calculator'!$B$10+A482)*SQRT('Calculator'!$B$11+B482)*SQRT('Calculator'!$B$12+C482)*0.667934^2)/10,0))</x:f>
        <x:v>2871</x:v>
      </x:c>
      <x:c r="F482" t="n">
        <x:f>--AND(A482&gt;='Calculator'!$B$5,B482&gt;='Calculator'!$B$5,C482&gt;='Calculator'!$B$5)</x:f>
        <x:v>1</x:v>
      </x:c>
      <x:c r="G482" t="n">
        <x:f>--AND(A482+'Calculator'!$B$6&gt;=15,B482+'Calculator'!$B$6&gt;=15,C482+'Calculator'!$B$6&gt;=15)</x:f>
        <x:v>0</x:v>
      </x:c>
      <x:c r="H482" t="n">
        <x:f>--AND(F482=1,D482='Calculator'!$B$4)</x:f>
        <x:v>0</x:v>
      </x:c>
      <x:c r="I482" t="n">
        <x:f>--AND(H482=1,G482=1)</x:f>
        <x:v>0</x:v>
      </x:c>
      <x:c r="J482" t="n">
        <x:f>--AND(F482=1,E482='Calculator'!$B$4)</x:f>
        <x:v>0</x:v>
      </x:c>
      <x:c r="K482" t="n">
        <x:f>--AND(J482=1,G482=1)</x:f>
        <x:v>0</x:v>
      </x:c>
      <x:c r="L482" t="str">
        <x:f>A482&amp;"/"&amp;B482&amp;"/"&amp;C482</x:f>
        <x:v>10/14/6</x:v>
      </x:c>
      <x:c r="M482" t="str">
        <x:f>MIN(15,A482+'Calculator'!$B$6)&amp;"/"&amp;MIN(15,B482+'Calculator'!$B$6)&amp;"/"&amp;MIN(15,C482+'Calculator'!$B$6)</x:f>
        <x:v>12/15/8</x:v>
      </x:c>
    </x:row>
    <x:row r="483">
      <x:c r="A483" t="n">
        <x:v>10</x:v>
      </x:c>
      <x:c r="B483" t="n">
        <x:v>14</x:v>
      </x:c>
      <x:c r="C483" t="n">
        <x:v>7</x:v>
      </x:c>
      <x:c r="D483" t="n">
        <x:f>MAX(10,ROUNDDOWN((('Calculator'!$B$10+A483)*SQRT('Calculator'!$B$11+B483)*SQRT('Calculator'!$B$12+C483)*0.59740001^2)/10,0))</x:f>
        <x:v>2302</x:v>
      </x:c>
      <x:c r="E483" t="n">
        <x:f>MAX(10,ROUNDDOWN((('Calculator'!$B$10+A483)*SQRT('Calculator'!$B$11+B483)*SQRT('Calculator'!$B$12+C483)*0.667934^2)/10,0))</x:f>
        <x:v>2878</x:v>
      </x:c>
      <x:c r="F483" t="n">
        <x:f>--AND(A483&gt;='Calculator'!$B$5,B483&gt;='Calculator'!$B$5,C483&gt;='Calculator'!$B$5)</x:f>
        <x:v>1</x:v>
      </x:c>
      <x:c r="G483" t="n">
        <x:f>--AND(A483+'Calculator'!$B$6&gt;=15,B483+'Calculator'!$B$6&gt;=15,C483+'Calculator'!$B$6&gt;=15)</x:f>
        <x:v>0</x:v>
      </x:c>
      <x:c r="H483" t="n">
        <x:f>--AND(F483=1,D483='Calculator'!$B$4)</x:f>
        <x:v>0</x:v>
      </x:c>
      <x:c r="I483" t="n">
        <x:f>--AND(H483=1,G483=1)</x:f>
        <x:v>0</x:v>
      </x:c>
      <x:c r="J483" t="n">
        <x:f>--AND(F483=1,E483='Calculator'!$B$4)</x:f>
        <x:v>0</x:v>
      </x:c>
      <x:c r="K483" t="n">
        <x:f>--AND(J483=1,G483=1)</x:f>
        <x:v>0</x:v>
      </x:c>
      <x:c r="L483" t="str">
        <x:f>A483&amp;"/"&amp;B483&amp;"/"&amp;C483</x:f>
        <x:v>10/14/7</x:v>
      </x:c>
      <x:c r="M483" t="str">
        <x:f>MIN(15,A483+'Calculator'!$B$6)&amp;"/"&amp;MIN(15,B483+'Calculator'!$B$6)&amp;"/"&amp;MIN(15,C483+'Calculator'!$B$6)</x:f>
        <x:v>12/15/9</x:v>
      </x:c>
    </x:row>
    <x:row r="484">
      <x:c r="A484" t="n">
        <x:v>10</x:v>
      </x:c>
      <x:c r="B484" t="n">
        <x:v>14</x:v>
      </x:c>
      <x:c r="C484" t="n">
        <x:v>8</x:v>
      </x:c>
      <x:c r="D484" t="n">
        <x:f>MAX(10,ROUNDDOWN((('Calculator'!$B$10+A484)*SQRT('Calculator'!$B$11+B484)*SQRT('Calculator'!$B$12+C484)*0.59740001^2)/10,0))</x:f>
        <x:v>2307</x:v>
      </x:c>
      <x:c r="E484" t="n">
        <x:f>MAX(10,ROUNDDOWN((('Calculator'!$B$10+A484)*SQRT('Calculator'!$B$11+B484)*SQRT('Calculator'!$B$12+C484)*0.667934^2)/10,0))</x:f>
        <x:v>2884</x:v>
      </x:c>
      <x:c r="F484" t="n">
        <x:f>--AND(A484&gt;='Calculator'!$B$5,B484&gt;='Calculator'!$B$5,C484&gt;='Calculator'!$B$5)</x:f>
        <x:v>1</x:v>
      </x:c>
      <x:c r="G484" t="n">
        <x:f>--AND(A484+'Calculator'!$B$6&gt;=15,B484+'Calculator'!$B$6&gt;=15,C484+'Calculator'!$B$6&gt;=15)</x:f>
        <x:v>0</x:v>
      </x:c>
      <x:c r="H484" t="n">
        <x:f>--AND(F484=1,D484='Calculator'!$B$4)</x:f>
        <x:v>0</x:v>
      </x:c>
      <x:c r="I484" t="n">
        <x:f>--AND(H484=1,G484=1)</x:f>
        <x:v>0</x:v>
      </x:c>
      <x:c r="J484" t="n">
        <x:f>--AND(F484=1,E484='Calculator'!$B$4)</x:f>
        <x:v>0</x:v>
      </x:c>
      <x:c r="K484" t="n">
        <x:f>--AND(J484=1,G484=1)</x:f>
        <x:v>0</x:v>
      </x:c>
      <x:c r="L484" t="str">
        <x:f>A484&amp;"/"&amp;B484&amp;"/"&amp;C484</x:f>
        <x:v>10/14/8</x:v>
      </x:c>
      <x:c r="M484" t="str">
        <x:f>MIN(15,A484+'Calculator'!$B$6)&amp;"/"&amp;MIN(15,B484+'Calculator'!$B$6)&amp;"/"&amp;MIN(15,C484+'Calculator'!$B$6)</x:f>
        <x:v>12/15/10</x:v>
      </x:c>
    </x:row>
    <x:row r="485">
      <x:c r="A485" t="n">
        <x:v>10</x:v>
      </x:c>
      <x:c r="B485" t="n">
        <x:v>14</x:v>
      </x:c>
      <x:c r="C485" t="n">
        <x:v>9</x:v>
      </x:c>
      <x:c r="D485" t="n">
        <x:f>MAX(10,ROUNDDOWN((('Calculator'!$B$10+A485)*SQRT('Calculator'!$B$11+B485)*SQRT('Calculator'!$B$12+C485)*0.59740001^2)/10,0))</x:f>
        <x:v>2312</x:v>
      </x:c>
      <x:c r="E485" t="n">
        <x:f>MAX(10,ROUNDDOWN((('Calculator'!$B$10+A485)*SQRT('Calculator'!$B$11+B485)*SQRT('Calculator'!$B$12+C485)*0.667934^2)/10,0))</x:f>
        <x:v>2891</x:v>
      </x:c>
      <x:c r="F485" t="n">
        <x:f>--AND(A485&gt;='Calculator'!$B$5,B485&gt;='Calculator'!$B$5,C485&gt;='Calculator'!$B$5)</x:f>
        <x:v>1</x:v>
      </x:c>
      <x:c r="G485" t="n">
        <x:f>--AND(A485+'Calculator'!$B$6&gt;=15,B485+'Calculator'!$B$6&gt;=15,C485+'Calculator'!$B$6&gt;=15)</x:f>
        <x:v>0</x:v>
      </x:c>
      <x:c r="H485" t="n">
        <x:f>--AND(F485=1,D485='Calculator'!$B$4)</x:f>
        <x:v>0</x:v>
      </x:c>
      <x:c r="I485" t="n">
        <x:f>--AND(H485=1,G485=1)</x:f>
        <x:v>0</x:v>
      </x:c>
      <x:c r="J485" t="n">
        <x:f>--AND(F485=1,E485='Calculator'!$B$4)</x:f>
        <x:v>0</x:v>
      </x:c>
      <x:c r="K485" t="n">
        <x:f>--AND(J485=1,G485=1)</x:f>
        <x:v>0</x:v>
      </x:c>
      <x:c r="L485" t="str">
        <x:f>A485&amp;"/"&amp;B485&amp;"/"&amp;C485</x:f>
        <x:v>10/14/9</x:v>
      </x:c>
      <x:c r="M485" t="str">
        <x:f>MIN(15,A485+'Calculator'!$B$6)&amp;"/"&amp;MIN(15,B485+'Calculator'!$B$6)&amp;"/"&amp;MIN(15,C485+'Calculator'!$B$6)</x:f>
        <x:v>12/15/11</x:v>
      </x:c>
    </x:row>
    <x:row r="486">
      <x:c r="A486" t="n">
        <x:v>10</x:v>
      </x:c>
      <x:c r="B486" t="n">
        <x:v>14</x:v>
      </x:c>
      <x:c r="C486" t="n">
        <x:v>10</x:v>
      </x:c>
      <x:c r="D486" t="n">
        <x:f>MAX(10,ROUNDDOWN((('Calculator'!$B$10+A486)*SQRT('Calculator'!$B$11+B486)*SQRT('Calculator'!$B$12+C486)*0.59740001^2)/10,0))</x:f>
        <x:v>2318</x:v>
      </x:c>
      <x:c r="E486" t="n">
        <x:f>MAX(10,ROUNDDOWN((('Calculator'!$B$10+A486)*SQRT('Calculator'!$B$11+B486)*SQRT('Calculator'!$B$12+C486)*0.667934^2)/10,0))</x:f>
        <x:v>2897</x:v>
      </x:c>
      <x:c r="F486" t="n">
        <x:f>--AND(A486&gt;='Calculator'!$B$5,B486&gt;='Calculator'!$B$5,C486&gt;='Calculator'!$B$5)</x:f>
        <x:v>1</x:v>
      </x:c>
      <x:c r="G486" t="n">
        <x:f>--AND(A486+'Calculator'!$B$6&gt;=15,B486+'Calculator'!$B$6&gt;=15,C486+'Calculator'!$B$6&gt;=15)</x:f>
        <x:v>0</x:v>
      </x:c>
      <x:c r="H486" t="n">
        <x:f>--AND(F486=1,D486='Calculator'!$B$4)</x:f>
        <x:v>0</x:v>
      </x:c>
      <x:c r="I486" t="n">
        <x:f>--AND(H486=1,G486=1)</x:f>
        <x:v>0</x:v>
      </x:c>
      <x:c r="J486" t="n">
        <x:f>--AND(F486=1,E486='Calculator'!$B$4)</x:f>
        <x:v>0</x:v>
      </x:c>
      <x:c r="K486" t="n">
        <x:f>--AND(J486=1,G486=1)</x:f>
        <x:v>0</x:v>
      </x:c>
      <x:c r="L486" t="str">
        <x:f>A486&amp;"/"&amp;B486&amp;"/"&amp;C486</x:f>
        <x:v>10/14/10</x:v>
      </x:c>
      <x:c r="M486" t="str">
        <x:f>MIN(15,A486+'Calculator'!$B$6)&amp;"/"&amp;MIN(15,B486+'Calculator'!$B$6)&amp;"/"&amp;MIN(15,C486+'Calculator'!$B$6)</x:f>
        <x:v>12/15/12</x:v>
      </x:c>
    </x:row>
    <x:row r="487">
      <x:c r="A487" t="n">
        <x:v>10</x:v>
      </x:c>
      <x:c r="B487" t="n">
        <x:v>14</x:v>
      </x:c>
      <x:c r="C487" t="n">
        <x:v>11</x:v>
      </x:c>
      <x:c r="D487" t="n">
        <x:f>MAX(10,ROUNDDOWN((('Calculator'!$B$10+A487)*SQRT('Calculator'!$B$11+B487)*SQRT('Calculator'!$B$12+C487)*0.59740001^2)/10,0))</x:f>
        <x:v>2323</x:v>
      </x:c>
      <x:c r="E487" t="n">
        <x:f>MAX(10,ROUNDDOWN((('Calculator'!$B$10+A487)*SQRT('Calculator'!$B$11+B487)*SQRT('Calculator'!$B$12+C487)*0.667934^2)/10,0))</x:f>
        <x:v>2904</x:v>
      </x:c>
      <x:c r="F487" t="n">
        <x:f>--AND(A487&gt;='Calculator'!$B$5,B487&gt;='Calculator'!$B$5,C487&gt;='Calculator'!$B$5)</x:f>
        <x:v>1</x:v>
      </x:c>
      <x:c r="G487" t="n">
        <x:f>--AND(A487+'Calculator'!$B$6&gt;=15,B487+'Calculator'!$B$6&gt;=15,C487+'Calculator'!$B$6&gt;=15)</x:f>
        <x:v>0</x:v>
      </x:c>
      <x:c r="H487" t="n">
        <x:f>--AND(F487=1,D487='Calculator'!$B$4)</x:f>
        <x:v>0</x:v>
      </x:c>
      <x:c r="I487" t="n">
        <x:f>--AND(H487=1,G487=1)</x:f>
        <x:v>0</x:v>
      </x:c>
      <x:c r="J487" t="n">
        <x:f>--AND(F487=1,E487='Calculator'!$B$4)</x:f>
        <x:v>0</x:v>
      </x:c>
      <x:c r="K487" t="n">
        <x:f>--AND(J487=1,G487=1)</x:f>
        <x:v>0</x:v>
      </x:c>
      <x:c r="L487" t="str">
        <x:f>A487&amp;"/"&amp;B487&amp;"/"&amp;C487</x:f>
        <x:v>10/14/11</x:v>
      </x:c>
      <x:c r="M487" t="str">
        <x:f>MIN(15,A487+'Calculator'!$B$6)&amp;"/"&amp;MIN(15,B487+'Calculator'!$B$6)&amp;"/"&amp;MIN(15,C487+'Calculator'!$B$6)</x:f>
        <x:v>12/15/13</x:v>
      </x:c>
    </x:row>
    <x:row r="488">
      <x:c r="A488" t="n">
        <x:v>10</x:v>
      </x:c>
      <x:c r="B488" t="n">
        <x:v>14</x:v>
      </x:c>
      <x:c r="C488" t="n">
        <x:v>12</x:v>
      </x:c>
      <x:c r="D488" t="n">
        <x:f>MAX(10,ROUNDDOWN((('Calculator'!$B$10+A488)*SQRT('Calculator'!$B$11+B488)*SQRT('Calculator'!$B$12+C488)*0.59740001^2)/10,0))</x:f>
        <x:v>2328</x:v>
      </x:c>
      <x:c r="E488" t="n">
        <x:f>MAX(10,ROUNDDOWN((('Calculator'!$B$10+A488)*SQRT('Calculator'!$B$11+B488)*SQRT('Calculator'!$B$12+C488)*0.667934^2)/10,0))</x:f>
        <x:v>2910</x:v>
      </x:c>
      <x:c r="F488" t="n">
        <x:f>--AND(A488&gt;='Calculator'!$B$5,B488&gt;='Calculator'!$B$5,C488&gt;='Calculator'!$B$5)</x:f>
        <x:v>1</x:v>
      </x:c>
      <x:c r="G488" t="n">
        <x:f>--AND(A488+'Calculator'!$B$6&gt;=15,B488+'Calculator'!$B$6&gt;=15,C488+'Calculator'!$B$6&gt;=15)</x:f>
        <x:v>0</x:v>
      </x:c>
      <x:c r="H488" t="n">
        <x:f>--AND(F488=1,D488='Calculator'!$B$4)</x:f>
        <x:v>0</x:v>
      </x:c>
      <x:c r="I488" t="n">
        <x:f>--AND(H488=1,G488=1)</x:f>
        <x:v>0</x:v>
      </x:c>
      <x:c r="J488" t="n">
        <x:f>--AND(F488=1,E488='Calculator'!$B$4)</x:f>
        <x:v>0</x:v>
      </x:c>
      <x:c r="K488" t="n">
        <x:f>--AND(J488=1,G488=1)</x:f>
        <x:v>0</x:v>
      </x:c>
      <x:c r="L488" t="str">
        <x:f>A488&amp;"/"&amp;B488&amp;"/"&amp;C488</x:f>
        <x:v>10/14/12</x:v>
      </x:c>
      <x:c r="M488" t="str">
        <x:f>MIN(15,A488+'Calculator'!$B$6)&amp;"/"&amp;MIN(15,B488+'Calculator'!$B$6)&amp;"/"&amp;MIN(15,C488+'Calculator'!$B$6)</x:f>
        <x:v>12/15/14</x:v>
      </x:c>
    </x:row>
    <x:row r="489">
      <x:c r="A489" t="n">
        <x:v>10</x:v>
      </x:c>
      <x:c r="B489" t="n">
        <x:v>14</x:v>
      </x:c>
      <x:c r="C489" t="n">
        <x:v>13</x:v>
      </x:c>
      <x:c r="D489" t="n">
        <x:f>MAX(10,ROUNDDOWN((('Calculator'!$B$10+A489)*SQRT('Calculator'!$B$11+B489)*SQRT('Calculator'!$B$12+C489)*0.59740001^2)/10,0))</x:f>
        <x:v>2333</x:v>
      </x:c>
      <x:c r="E489" t="n">
        <x:f>MAX(10,ROUNDDOWN((('Calculator'!$B$10+A489)*SQRT('Calculator'!$B$11+B489)*SQRT('Calculator'!$B$12+C489)*0.667934^2)/10,0))</x:f>
        <x:v>2917</x:v>
      </x:c>
      <x:c r="F489" t="n">
        <x:f>--AND(A489&gt;='Calculator'!$B$5,B489&gt;='Calculator'!$B$5,C489&gt;='Calculator'!$B$5)</x:f>
        <x:v>1</x:v>
      </x:c>
      <x:c r="G489" t="n">
        <x:f>--AND(A489+'Calculator'!$B$6&gt;=15,B489+'Calculator'!$B$6&gt;=15,C489+'Calculator'!$B$6&gt;=15)</x:f>
        <x:v>0</x:v>
      </x:c>
      <x:c r="H489" t="n">
        <x:f>--AND(F489=1,D489='Calculator'!$B$4)</x:f>
        <x:v>0</x:v>
      </x:c>
      <x:c r="I489" t="n">
        <x:f>--AND(H489=1,G489=1)</x:f>
        <x:v>0</x:v>
      </x:c>
      <x:c r="J489" t="n">
        <x:f>--AND(F489=1,E489='Calculator'!$B$4)</x:f>
        <x:v>0</x:v>
      </x:c>
      <x:c r="K489" t="n">
        <x:f>--AND(J489=1,G489=1)</x:f>
        <x:v>0</x:v>
      </x:c>
      <x:c r="L489" t="str">
        <x:f>A489&amp;"/"&amp;B489&amp;"/"&amp;C489</x:f>
        <x:v>10/14/13</x:v>
      </x:c>
      <x:c r="M489" t="str">
        <x:f>MIN(15,A489+'Calculator'!$B$6)&amp;"/"&amp;MIN(15,B489+'Calculator'!$B$6)&amp;"/"&amp;MIN(15,C489+'Calculator'!$B$6)</x:f>
        <x:v>12/15/15</x:v>
      </x:c>
    </x:row>
    <x:row r="490">
      <x:c r="A490" t="n">
        <x:v>10</x:v>
      </x:c>
      <x:c r="B490" t="n">
        <x:v>14</x:v>
      </x:c>
      <x:c r="C490" t="n">
        <x:v>14</x:v>
      </x:c>
      <x:c r="D490" t="n">
        <x:f>MAX(10,ROUNDDOWN((('Calculator'!$B$10+A490)*SQRT('Calculator'!$B$11+B490)*SQRT('Calculator'!$B$12+C490)*0.59740001^2)/10,0))</x:f>
        <x:v>2338</x:v>
      </x:c>
      <x:c r="E490" t="n">
        <x:f>MAX(10,ROUNDDOWN((('Calculator'!$B$10+A490)*SQRT('Calculator'!$B$11+B490)*SQRT('Calculator'!$B$12+C490)*0.667934^2)/10,0))</x:f>
        <x:v>2923</x:v>
      </x:c>
      <x:c r="F490" t="n">
        <x:f>--AND(A490&gt;='Calculator'!$B$5,B490&gt;='Calculator'!$B$5,C490&gt;='Calculator'!$B$5)</x:f>
        <x:v>1</x:v>
      </x:c>
      <x:c r="G490" t="n">
        <x:f>--AND(A490+'Calculator'!$B$6&gt;=15,B490+'Calculator'!$B$6&gt;=15,C490+'Calculator'!$B$6&gt;=15)</x:f>
        <x:v>0</x:v>
      </x:c>
      <x:c r="H490" t="n">
        <x:f>--AND(F490=1,D490='Calculator'!$B$4)</x:f>
        <x:v>0</x:v>
      </x:c>
      <x:c r="I490" t="n">
        <x:f>--AND(H490=1,G490=1)</x:f>
        <x:v>0</x:v>
      </x:c>
      <x:c r="J490" t="n">
        <x:f>--AND(F490=1,E490='Calculator'!$B$4)</x:f>
        <x:v>0</x:v>
      </x:c>
      <x:c r="K490" t="n">
        <x:f>--AND(J490=1,G490=1)</x:f>
        <x:v>0</x:v>
      </x:c>
      <x:c r="L490" t="str">
        <x:f>A490&amp;"/"&amp;B490&amp;"/"&amp;C490</x:f>
        <x:v>10/14/14</x:v>
      </x:c>
      <x:c r="M490" t="str">
        <x:f>MIN(15,A490+'Calculator'!$B$6)&amp;"/"&amp;MIN(15,B490+'Calculator'!$B$6)&amp;"/"&amp;MIN(15,C490+'Calculator'!$B$6)</x:f>
        <x:v>12/15/15</x:v>
      </x:c>
    </x:row>
    <x:row r="491">
      <x:c r="A491" t="n">
        <x:v>10</x:v>
      </x:c>
      <x:c r="B491" t="n">
        <x:v>14</x:v>
      </x:c>
      <x:c r="C491" t="n">
        <x:v>15</x:v>
      </x:c>
      <x:c r="D491" t="n">
        <x:f>MAX(10,ROUNDDOWN((('Calculator'!$B$10+A491)*SQRT('Calculator'!$B$11+B491)*SQRT('Calculator'!$B$12+C491)*0.59740001^2)/10,0))</x:f>
        <x:v>2343</x:v>
      </x:c>
      <x:c r="E491" t="n">
        <x:f>MAX(10,ROUNDDOWN((('Calculator'!$B$10+A491)*SQRT('Calculator'!$B$11+B491)*SQRT('Calculator'!$B$12+C491)*0.667934^2)/10,0))</x:f>
        <x:v>2930</x:v>
      </x:c>
      <x:c r="F491" t="n">
        <x:f>--AND(A491&gt;='Calculator'!$B$5,B491&gt;='Calculator'!$B$5,C491&gt;='Calculator'!$B$5)</x:f>
        <x:v>1</x:v>
      </x:c>
      <x:c r="G491" t="n">
        <x:f>--AND(A491+'Calculator'!$B$6&gt;=15,B491+'Calculator'!$B$6&gt;=15,C491+'Calculator'!$B$6&gt;=15)</x:f>
        <x:v>0</x:v>
      </x:c>
      <x:c r="H491" t="n">
        <x:f>--AND(F491=1,D491='Calculator'!$B$4)</x:f>
        <x:v>0</x:v>
      </x:c>
      <x:c r="I491" t="n">
        <x:f>--AND(H491=1,G491=1)</x:f>
        <x:v>0</x:v>
      </x:c>
      <x:c r="J491" t="n">
        <x:f>--AND(F491=1,E491='Calculator'!$B$4)</x:f>
        <x:v>0</x:v>
      </x:c>
      <x:c r="K491" t="n">
        <x:f>--AND(J491=1,G491=1)</x:f>
        <x:v>0</x:v>
      </x:c>
      <x:c r="L491" t="str">
        <x:f>A491&amp;"/"&amp;B491&amp;"/"&amp;C491</x:f>
        <x:v>10/14/15</x:v>
      </x:c>
      <x:c r="M491" t="str">
        <x:f>MIN(15,A491+'Calculator'!$B$6)&amp;"/"&amp;MIN(15,B491+'Calculator'!$B$6)&amp;"/"&amp;MIN(15,C491+'Calculator'!$B$6)</x:f>
        <x:v>12/15/15</x:v>
      </x:c>
    </x:row>
    <x:row r="492">
      <x:c r="A492" t="n">
        <x:v>10</x:v>
      </x:c>
      <x:c r="B492" t="n">
        <x:v>15</x:v>
      </x:c>
      <x:c r="C492" t="n">
        <x:v>6</x:v>
      </x:c>
      <x:c r="D492" t="n">
        <x:f>MAX(10,ROUNDDOWN((('Calculator'!$B$10+A492)*SQRT('Calculator'!$B$11+B492)*SQRT('Calculator'!$B$12+C492)*0.59740001^2)/10,0))</x:f>
        <x:v>2303</x:v>
      </x:c>
      <x:c r="E492" t="n">
        <x:f>MAX(10,ROUNDDOWN((('Calculator'!$B$10+A492)*SQRT('Calculator'!$B$11+B492)*SQRT('Calculator'!$B$12+C492)*0.667934^2)/10,0))</x:f>
        <x:v>2879</x:v>
      </x:c>
      <x:c r="F492" t="n">
        <x:f>--AND(A492&gt;='Calculator'!$B$5,B492&gt;='Calculator'!$B$5,C492&gt;='Calculator'!$B$5)</x:f>
        <x:v>1</x:v>
      </x:c>
      <x:c r="G492" t="n">
        <x:f>--AND(A492+'Calculator'!$B$6&gt;=15,B492+'Calculator'!$B$6&gt;=15,C492+'Calculator'!$B$6&gt;=15)</x:f>
        <x:v>0</x:v>
      </x:c>
      <x:c r="H492" t="n">
        <x:f>--AND(F492=1,D492='Calculator'!$B$4)</x:f>
        <x:v>0</x:v>
      </x:c>
      <x:c r="I492" t="n">
        <x:f>--AND(H492=1,G492=1)</x:f>
        <x:v>0</x:v>
      </x:c>
      <x:c r="J492" t="n">
        <x:f>--AND(F492=1,E492='Calculator'!$B$4)</x:f>
        <x:v>0</x:v>
      </x:c>
      <x:c r="K492" t="n">
        <x:f>--AND(J492=1,G492=1)</x:f>
        <x:v>0</x:v>
      </x:c>
      <x:c r="L492" t="str">
        <x:f>A492&amp;"/"&amp;B492&amp;"/"&amp;C492</x:f>
        <x:v>10/15/6</x:v>
      </x:c>
      <x:c r="M492" t="str">
        <x:f>MIN(15,A492+'Calculator'!$B$6)&amp;"/"&amp;MIN(15,B492+'Calculator'!$B$6)&amp;"/"&amp;MIN(15,C492+'Calculator'!$B$6)</x:f>
        <x:v>12/15/8</x:v>
      </x:c>
    </x:row>
    <x:row r="493">
      <x:c r="A493" t="n">
        <x:v>10</x:v>
      </x:c>
      <x:c r="B493" t="n">
        <x:v>15</x:v>
      </x:c>
      <x:c r="C493" t="n">
        <x:v>7</x:v>
      </x:c>
      <x:c r="D493" t="n">
        <x:f>MAX(10,ROUNDDOWN((('Calculator'!$B$10+A493)*SQRT('Calculator'!$B$11+B493)*SQRT('Calculator'!$B$12+C493)*0.59740001^2)/10,0))</x:f>
        <x:v>2308</x:v>
      </x:c>
      <x:c r="E493" t="n">
        <x:f>MAX(10,ROUNDDOWN((('Calculator'!$B$10+A493)*SQRT('Calculator'!$B$11+B493)*SQRT('Calculator'!$B$12+C493)*0.667934^2)/10,0))</x:f>
        <x:v>2885</x:v>
      </x:c>
      <x:c r="F493" t="n">
        <x:f>--AND(A493&gt;='Calculator'!$B$5,B493&gt;='Calculator'!$B$5,C493&gt;='Calculator'!$B$5)</x:f>
        <x:v>1</x:v>
      </x:c>
      <x:c r="G493" t="n">
        <x:f>--AND(A493+'Calculator'!$B$6&gt;=15,B493+'Calculator'!$B$6&gt;=15,C493+'Calculator'!$B$6&gt;=15)</x:f>
        <x:v>0</x:v>
      </x:c>
      <x:c r="H493" t="n">
        <x:f>--AND(F493=1,D493='Calculator'!$B$4)</x:f>
        <x:v>0</x:v>
      </x:c>
      <x:c r="I493" t="n">
        <x:f>--AND(H493=1,G493=1)</x:f>
        <x:v>0</x:v>
      </x:c>
      <x:c r="J493" t="n">
        <x:f>--AND(F493=1,E493='Calculator'!$B$4)</x:f>
        <x:v>0</x:v>
      </x:c>
      <x:c r="K493" t="n">
        <x:f>--AND(J493=1,G493=1)</x:f>
        <x:v>0</x:v>
      </x:c>
      <x:c r="L493" t="str">
        <x:f>A493&amp;"/"&amp;B493&amp;"/"&amp;C493</x:f>
        <x:v>10/15/7</x:v>
      </x:c>
      <x:c r="M493" t="str">
        <x:f>MIN(15,A493+'Calculator'!$B$6)&amp;"/"&amp;MIN(15,B493+'Calculator'!$B$6)&amp;"/"&amp;MIN(15,C493+'Calculator'!$B$6)</x:f>
        <x:v>12/15/9</x:v>
      </x:c>
    </x:row>
    <x:row r="494">
      <x:c r="A494" t="n">
        <x:v>10</x:v>
      </x:c>
      <x:c r="B494" t="n">
        <x:v>15</x:v>
      </x:c>
      <x:c r="C494" t="n">
        <x:v>8</x:v>
      </x:c>
      <x:c r="D494" t="n">
        <x:f>MAX(10,ROUNDDOWN((('Calculator'!$B$10+A494)*SQRT('Calculator'!$B$11+B494)*SQRT('Calculator'!$B$12+C494)*0.59740001^2)/10,0))</x:f>
        <x:v>2313</x:v>
      </x:c>
      <x:c r="E494" t="n">
        <x:f>MAX(10,ROUNDDOWN((('Calculator'!$B$10+A494)*SQRT('Calculator'!$B$11+B494)*SQRT('Calculator'!$B$12+C494)*0.667934^2)/10,0))</x:f>
        <x:v>2892</x:v>
      </x:c>
      <x:c r="F494" t="n">
        <x:f>--AND(A494&gt;='Calculator'!$B$5,B494&gt;='Calculator'!$B$5,C494&gt;='Calculator'!$B$5)</x:f>
        <x:v>1</x:v>
      </x:c>
      <x:c r="G494" t="n">
        <x:f>--AND(A494+'Calculator'!$B$6&gt;=15,B494+'Calculator'!$B$6&gt;=15,C494+'Calculator'!$B$6&gt;=15)</x:f>
        <x:v>0</x:v>
      </x:c>
      <x:c r="H494" t="n">
        <x:f>--AND(F494=1,D494='Calculator'!$B$4)</x:f>
        <x:v>0</x:v>
      </x:c>
      <x:c r="I494" t="n">
        <x:f>--AND(H494=1,G494=1)</x:f>
        <x:v>0</x:v>
      </x:c>
      <x:c r="J494" t="n">
        <x:f>--AND(F494=1,E494='Calculator'!$B$4)</x:f>
        <x:v>0</x:v>
      </x:c>
      <x:c r="K494" t="n">
        <x:f>--AND(J494=1,G494=1)</x:f>
        <x:v>0</x:v>
      </x:c>
      <x:c r="L494" t="str">
        <x:f>A494&amp;"/"&amp;B494&amp;"/"&amp;C494</x:f>
        <x:v>10/15/8</x:v>
      </x:c>
      <x:c r="M494" t="str">
        <x:f>MIN(15,A494+'Calculator'!$B$6)&amp;"/"&amp;MIN(15,B494+'Calculator'!$B$6)&amp;"/"&amp;MIN(15,C494+'Calculator'!$B$6)</x:f>
        <x:v>12/15/10</x:v>
      </x:c>
    </x:row>
    <x:row r="495">
      <x:c r="A495" t="n">
        <x:v>10</x:v>
      </x:c>
      <x:c r="B495" t="n">
        <x:v>15</x:v>
      </x:c>
      <x:c r="C495" t="n">
        <x:v>9</x:v>
      </x:c>
      <x:c r="D495" t="n">
        <x:f>MAX(10,ROUNDDOWN((('Calculator'!$B$10+A495)*SQRT('Calculator'!$B$11+B495)*SQRT('Calculator'!$B$12+C495)*0.59740001^2)/10,0))</x:f>
        <x:v>2318</x:v>
      </x:c>
      <x:c r="E495" t="n">
        <x:f>MAX(10,ROUNDDOWN((('Calculator'!$B$10+A495)*SQRT('Calculator'!$B$11+B495)*SQRT('Calculator'!$B$12+C495)*0.667934^2)/10,0))</x:f>
        <x:v>2898</x:v>
      </x:c>
      <x:c r="F495" t="n">
        <x:f>--AND(A495&gt;='Calculator'!$B$5,B495&gt;='Calculator'!$B$5,C495&gt;='Calculator'!$B$5)</x:f>
        <x:v>1</x:v>
      </x:c>
      <x:c r="G495" t="n">
        <x:f>--AND(A495+'Calculator'!$B$6&gt;=15,B495+'Calculator'!$B$6&gt;=15,C495+'Calculator'!$B$6&gt;=15)</x:f>
        <x:v>0</x:v>
      </x:c>
      <x:c r="H495" t="n">
        <x:f>--AND(F495=1,D495='Calculator'!$B$4)</x:f>
        <x:v>0</x:v>
      </x:c>
      <x:c r="I495" t="n">
        <x:f>--AND(H495=1,G495=1)</x:f>
        <x:v>0</x:v>
      </x:c>
      <x:c r="J495" t="n">
        <x:f>--AND(F495=1,E495='Calculator'!$B$4)</x:f>
        <x:v>0</x:v>
      </x:c>
      <x:c r="K495" t="n">
        <x:f>--AND(J495=1,G495=1)</x:f>
        <x:v>0</x:v>
      </x:c>
      <x:c r="L495" t="str">
        <x:f>A495&amp;"/"&amp;B495&amp;"/"&amp;C495</x:f>
        <x:v>10/15/9</x:v>
      </x:c>
      <x:c r="M495" t="str">
        <x:f>MIN(15,A495+'Calculator'!$B$6)&amp;"/"&amp;MIN(15,B495+'Calculator'!$B$6)&amp;"/"&amp;MIN(15,C495+'Calculator'!$B$6)</x:f>
        <x:v>12/15/11</x:v>
      </x:c>
    </x:row>
    <x:row r="496">
      <x:c r="A496" t="n">
        <x:v>10</x:v>
      </x:c>
      <x:c r="B496" t="n">
        <x:v>15</x:v>
      </x:c>
      <x:c r="C496" t="n">
        <x:v>10</x:v>
      </x:c>
      <x:c r="D496" t="n">
        <x:f>MAX(10,ROUNDDOWN((('Calculator'!$B$10+A496)*SQRT('Calculator'!$B$11+B496)*SQRT('Calculator'!$B$12+C496)*0.59740001^2)/10,0))</x:f>
        <x:v>2324</x:v>
      </x:c>
      <x:c r="E496" t="n">
        <x:f>MAX(10,ROUNDDOWN((('Calculator'!$B$10+A496)*SQRT('Calculator'!$B$11+B496)*SQRT('Calculator'!$B$12+C496)*0.667934^2)/10,0))</x:f>
        <x:v>2905</x:v>
      </x:c>
      <x:c r="F496" t="n">
        <x:f>--AND(A496&gt;='Calculator'!$B$5,B496&gt;='Calculator'!$B$5,C496&gt;='Calculator'!$B$5)</x:f>
        <x:v>1</x:v>
      </x:c>
      <x:c r="G496" t="n">
        <x:f>--AND(A496+'Calculator'!$B$6&gt;=15,B496+'Calculator'!$B$6&gt;=15,C496+'Calculator'!$B$6&gt;=15)</x:f>
        <x:v>0</x:v>
      </x:c>
      <x:c r="H496" t="n">
        <x:f>--AND(F496=1,D496='Calculator'!$B$4)</x:f>
        <x:v>0</x:v>
      </x:c>
      <x:c r="I496" t="n">
        <x:f>--AND(H496=1,G496=1)</x:f>
        <x:v>0</x:v>
      </x:c>
      <x:c r="J496" t="n">
        <x:f>--AND(F496=1,E496='Calculator'!$B$4)</x:f>
        <x:v>0</x:v>
      </x:c>
      <x:c r="K496" t="n">
        <x:f>--AND(J496=1,G496=1)</x:f>
        <x:v>0</x:v>
      </x:c>
      <x:c r="L496" t="str">
        <x:f>A496&amp;"/"&amp;B496&amp;"/"&amp;C496</x:f>
        <x:v>10/15/10</x:v>
      </x:c>
      <x:c r="M496" t="str">
        <x:f>MIN(15,A496+'Calculator'!$B$6)&amp;"/"&amp;MIN(15,B496+'Calculator'!$B$6)&amp;"/"&amp;MIN(15,C496+'Calculator'!$B$6)</x:f>
        <x:v>12/15/12</x:v>
      </x:c>
    </x:row>
    <x:row r="497">
      <x:c r="A497" t="n">
        <x:v>10</x:v>
      </x:c>
      <x:c r="B497" t="n">
        <x:v>15</x:v>
      </x:c>
      <x:c r="C497" t="n">
        <x:v>11</x:v>
      </x:c>
      <x:c r="D497" t="n">
        <x:f>MAX(10,ROUNDDOWN((('Calculator'!$B$10+A497)*SQRT('Calculator'!$B$11+B497)*SQRT('Calculator'!$B$12+C497)*0.59740001^2)/10,0))</x:f>
        <x:v>2329</x:v>
      </x:c>
      <x:c r="E497" t="n">
        <x:f>MAX(10,ROUNDDOWN((('Calculator'!$B$10+A497)*SQRT('Calculator'!$B$11+B497)*SQRT('Calculator'!$B$12+C497)*0.667934^2)/10,0))</x:f>
        <x:v>2911</x:v>
      </x:c>
      <x:c r="F497" t="n">
        <x:f>--AND(A497&gt;='Calculator'!$B$5,B497&gt;='Calculator'!$B$5,C497&gt;='Calculator'!$B$5)</x:f>
        <x:v>1</x:v>
      </x:c>
      <x:c r="G497" t="n">
        <x:f>--AND(A497+'Calculator'!$B$6&gt;=15,B497+'Calculator'!$B$6&gt;=15,C497+'Calculator'!$B$6&gt;=15)</x:f>
        <x:v>0</x:v>
      </x:c>
      <x:c r="H497" t="n">
        <x:f>--AND(F497=1,D497='Calculator'!$B$4)</x:f>
        <x:v>0</x:v>
      </x:c>
      <x:c r="I497" t="n">
        <x:f>--AND(H497=1,G497=1)</x:f>
        <x:v>0</x:v>
      </x:c>
      <x:c r="J497" t="n">
        <x:f>--AND(F497=1,E497='Calculator'!$B$4)</x:f>
        <x:v>0</x:v>
      </x:c>
      <x:c r="K497" t="n">
        <x:f>--AND(J497=1,G497=1)</x:f>
        <x:v>0</x:v>
      </x:c>
      <x:c r="L497" t="str">
        <x:f>A497&amp;"/"&amp;B497&amp;"/"&amp;C497</x:f>
        <x:v>10/15/11</x:v>
      </x:c>
      <x:c r="M497" t="str">
        <x:f>MIN(15,A497+'Calculator'!$B$6)&amp;"/"&amp;MIN(15,B497+'Calculator'!$B$6)&amp;"/"&amp;MIN(15,C497+'Calculator'!$B$6)</x:f>
        <x:v>12/15/13</x:v>
      </x:c>
    </x:row>
    <x:row r="498">
      <x:c r="A498" t="n">
        <x:v>10</x:v>
      </x:c>
      <x:c r="B498" t="n">
        <x:v>15</x:v>
      </x:c>
      <x:c r="C498" t="n">
        <x:v>12</x:v>
      </x:c>
      <x:c r="D498" t="n">
        <x:f>MAX(10,ROUNDDOWN((('Calculator'!$B$10+A498)*SQRT('Calculator'!$B$11+B498)*SQRT('Calculator'!$B$12+C498)*0.59740001^2)/10,0))</x:f>
        <x:v>2334</x:v>
      </x:c>
      <x:c r="E498" t="n">
        <x:f>MAX(10,ROUNDDOWN((('Calculator'!$B$10+A498)*SQRT('Calculator'!$B$11+B498)*SQRT('Calculator'!$B$12+C498)*0.667934^2)/10,0))</x:f>
        <x:v>2918</x:v>
      </x:c>
      <x:c r="F498" t="n">
        <x:f>--AND(A498&gt;='Calculator'!$B$5,B498&gt;='Calculator'!$B$5,C498&gt;='Calculator'!$B$5)</x:f>
        <x:v>1</x:v>
      </x:c>
      <x:c r="G498" t="n">
        <x:f>--AND(A498+'Calculator'!$B$6&gt;=15,B498+'Calculator'!$B$6&gt;=15,C498+'Calculator'!$B$6&gt;=15)</x:f>
        <x:v>0</x:v>
      </x:c>
      <x:c r="H498" t="n">
        <x:f>--AND(F498=1,D498='Calculator'!$B$4)</x:f>
        <x:v>0</x:v>
      </x:c>
      <x:c r="I498" t="n">
        <x:f>--AND(H498=1,G498=1)</x:f>
        <x:v>0</x:v>
      </x:c>
      <x:c r="J498" t="n">
        <x:f>--AND(F498=1,E498='Calculator'!$B$4)</x:f>
        <x:v>0</x:v>
      </x:c>
      <x:c r="K498" t="n">
        <x:f>--AND(J498=1,G498=1)</x:f>
        <x:v>0</x:v>
      </x:c>
      <x:c r="L498" t="str">
        <x:f>A498&amp;"/"&amp;B498&amp;"/"&amp;C498</x:f>
        <x:v>10/15/12</x:v>
      </x:c>
      <x:c r="M498" t="str">
        <x:f>MIN(15,A498+'Calculator'!$B$6)&amp;"/"&amp;MIN(15,B498+'Calculator'!$B$6)&amp;"/"&amp;MIN(15,C498+'Calculator'!$B$6)</x:f>
        <x:v>12/15/14</x:v>
      </x:c>
    </x:row>
    <x:row r="499">
      <x:c r="A499" t="n">
        <x:v>10</x:v>
      </x:c>
      <x:c r="B499" t="n">
        <x:v>15</x:v>
      </x:c>
      <x:c r="C499" t="n">
        <x:v>13</x:v>
      </x:c>
      <x:c r="D499" t="n">
        <x:f>MAX(10,ROUNDDOWN((('Calculator'!$B$10+A499)*SQRT('Calculator'!$B$11+B499)*SQRT('Calculator'!$B$12+C499)*0.59740001^2)/10,0))</x:f>
        <x:v>2339</x:v>
      </x:c>
      <x:c r="E499" t="n">
        <x:f>MAX(10,ROUNDDOWN((('Calculator'!$B$10+A499)*SQRT('Calculator'!$B$11+B499)*SQRT('Calculator'!$B$12+C499)*0.667934^2)/10,0))</x:f>
        <x:v>2924</x:v>
      </x:c>
      <x:c r="F499" t="n">
        <x:f>--AND(A499&gt;='Calculator'!$B$5,B499&gt;='Calculator'!$B$5,C499&gt;='Calculator'!$B$5)</x:f>
        <x:v>1</x:v>
      </x:c>
      <x:c r="G499" t="n">
        <x:f>--AND(A499+'Calculator'!$B$6&gt;=15,B499+'Calculator'!$B$6&gt;=15,C499+'Calculator'!$B$6&gt;=15)</x:f>
        <x:v>0</x:v>
      </x:c>
      <x:c r="H499" t="n">
        <x:f>--AND(F499=1,D499='Calculator'!$B$4)</x:f>
        <x:v>0</x:v>
      </x:c>
      <x:c r="I499" t="n">
        <x:f>--AND(H499=1,G499=1)</x:f>
        <x:v>0</x:v>
      </x:c>
      <x:c r="J499" t="n">
        <x:f>--AND(F499=1,E499='Calculator'!$B$4)</x:f>
        <x:v>0</x:v>
      </x:c>
      <x:c r="K499" t="n">
        <x:f>--AND(J499=1,G499=1)</x:f>
        <x:v>0</x:v>
      </x:c>
      <x:c r="L499" t="str">
        <x:f>A499&amp;"/"&amp;B499&amp;"/"&amp;C499</x:f>
        <x:v>10/15/13</x:v>
      </x:c>
      <x:c r="M499" t="str">
        <x:f>MIN(15,A499+'Calculator'!$B$6)&amp;"/"&amp;MIN(15,B499+'Calculator'!$B$6)&amp;"/"&amp;MIN(15,C499+'Calculator'!$B$6)</x:f>
        <x:v>12/15/15</x:v>
      </x:c>
    </x:row>
    <x:row r="500">
      <x:c r="A500" t="n">
        <x:v>10</x:v>
      </x:c>
      <x:c r="B500" t="n">
        <x:v>15</x:v>
      </x:c>
      <x:c r="C500" t="n">
        <x:v>14</x:v>
      </x:c>
      <x:c r="D500" t="n">
        <x:f>MAX(10,ROUNDDOWN((('Calculator'!$B$10+A500)*SQRT('Calculator'!$B$11+B500)*SQRT('Calculator'!$B$12+C500)*0.59740001^2)/10,0))</x:f>
        <x:v>2344</x:v>
      </x:c>
      <x:c r="E500" t="n">
        <x:f>MAX(10,ROUNDDOWN((('Calculator'!$B$10+A500)*SQRT('Calculator'!$B$11+B500)*SQRT('Calculator'!$B$12+C500)*0.667934^2)/10,0))</x:f>
        <x:v>2931</x:v>
      </x:c>
      <x:c r="F500" t="n">
        <x:f>--AND(A500&gt;='Calculator'!$B$5,B500&gt;='Calculator'!$B$5,C500&gt;='Calculator'!$B$5)</x:f>
        <x:v>1</x:v>
      </x:c>
      <x:c r="G500" t="n">
        <x:f>--AND(A500+'Calculator'!$B$6&gt;=15,B500+'Calculator'!$B$6&gt;=15,C500+'Calculator'!$B$6&gt;=15)</x:f>
        <x:v>0</x:v>
      </x:c>
      <x:c r="H500" t="n">
        <x:f>--AND(F500=1,D500='Calculator'!$B$4)</x:f>
        <x:v>0</x:v>
      </x:c>
      <x:c r="I500" t="n">
        <x:f>--AND(H500=1,G500=1)</x:f>
        <x:v>0</x:v>
      </x:c>
      <x:c r="J500" t="n">
        <x:f>--AND(F500=1,E500='Calculator'!$B$4)</x:f>
        <x:v>0</x:v>
      </x:c>
      <x:c r="K500" t="n">
        <x:f>--AND(J500=1,G500=1)</x:f>
        <x:v>0</x:v>
      </x:c>
      <x:c r="L500" t="str">
        <x:f>A500&amp;"/"&amp;B500&amp;"/"&amp;C500</x:f>
        <x:v>10/15/14</x:v>
      </x:c>
      <x:c r="M500" t="str">
        <x:f>MIN(15,A500+'Calculator'!$B$6)&amp;"/"&amp;MIN(15,B500+'Calculator'!$B$6)&amp;"/"&amp;MIN(15,C500+'Calculator'!$B$6)</x:f>
        <x:v>12/15/15</x:v>
      </x:c>
    </x:row>
    <x:row r="501">
      <x:c r="A501" t="n">
        <x:v>10</x:v>
      </x:c>
      <x:c r="B501" t="n">
        <x:v>15</x:v>
      </x:c>
      <x:c r="C501" t="n">
        <x:v>15</x:v>
      </x:c>
      <x:c r="D501" t="n">
        <x:f>MAX(10,ROUNDDOWN((('Calculator'!$B$10+A501)*SQRT('Calculator'!$B$11+B501)*SQRT('Calculator'!$B$12+C501)*0.59740001^2)/10,0))</x:f>
        <x:v>2349</x:v>
      </x:c>
      <x:c r="E501" t="n">
        <x:f>MAX(10,ROUNDDOWN((('Calculator'!$B$10+A501)*SQRT('Calculator'!$B$11+B501)*SQRT('Calculator'!$B$12+C501)*0.667934^2)/10,0))</x:f>
        <x:v>2937</x:v>
      </x:c>
      <x:c r="F501" t="n">
        <x:f>--AND(A501&gt;='Calculator'!$B$5,B501&gt;='Calculator'!$B$5,C501&gt;='Calculator'!$B$5)</x:f>
        <x:v>1</x:v>
      </x:c>
      <x:c r="G501" t="n">
        <x:f>--AND(A501+'Calculator'!$B$6&gt;=15,B501+'Calculator'!$B$6&gt;=15,C501+'Calculator'!$B$6&gt;=15)</x:f>
        <x:v>0</x:v>
      </x:c>
      <x:c r="H501" t="n">
        <x:f>--AND(F501=1,D501='Calculator'!$B$4)</x:f>
        <x:v>0</x:v>
      </x:c>
      <x:c r="I501" t="n">
        <x:f>--AND(H501=1,G501=1)</x:f>
        <x:v>0</x:v>
      </x:c>
      <x:c r="J501" t="n">
        <x:f>--AND(F501=1,E501='Calculator'!$B$4)</x:f>
        <x:v>0</x:v>
      </x:c>
      <x:c r="K501" t="n">
        <x:f>--AND(J501=1,G501=1)</x:f>
        <x:v>0</x:v>
      </x:c>
      <x:c r="L501" t="str">
        <x:f>A501&amp;"/"&amp;B501&amp;"/"&amp;C501</x:f>
        <x:v>10/15/15</x:v>
      </x:c>
      <x:c r="M501" t="str">
        <x:f>MIN(15,A501+'Calculator'!$B$6)&amp;"/"&amp;MIN(15,B501+'Calculator'!$B$6)&amp;"/"&amp;MIN(15,C501+'Calculator'!$B$6)</x:f>
        <x:v>12/15/15</x:v>
      </x:c>
    </x:row>
    <x:row r="502">
      <x:c r="A502" t="n">
        <x:v>11</x:v>
      </x:c>
      <x:c r="B502" t="n">
        <x:v>6</x:v>
      </x:c>
      <x:c r="C502" t="n">
        <x:v>6</x:v>
      </x:c>
      <x:c r="D502" t="n">
        <x:f>MAX(10,ROUNDDOWN((('Calculator'!$B$10+A502)*SQRT('Calculator'!$B$11+B502)*SQRT('Calculator'!$B$12+C502)*0.59740001^2)/10,0))</x:f>
        <x:v>2257</x:v>
      </x:c>
      <x:c r="E502" t="n">
        <x:f>MAX(10,ROUNDDOWN((('Calculator'!$B$10+A502)*SQRT('Calculator'!$B$11+B502)*SQRT('Calculator'!$B$12+C502)*0.667934^2)/10,0))</x:f>
        <x:v>2821</x:v>
      </x:c>
      <x:c r="F502" t="n">
        <x:f>--AND(A502&gt;='Calculator'!$B$5,B502&gt;='Calculator'!$B$5,C502&gt;='Calculator'!$B$5)</x:f>
        <x:v>1</x:v>
      </x:c>
      <x:c r="G502" t="n">
        <x:f>--AND(A502+'Calculator'!$B$6&gt;=15,B502+'Calculator'!$B$6&gt;=15,C502+'Calculator'!$B$6&gt;=15)</x:f>
        <x:v>0</x:v>
      </x:c>
      <x:c r="H502" t="n">
        <x:f>--AND(F502=1,D502='Calculator'!$B$4)</x:f>
        <x:v>0</x:v>
      </x:c>
      <x:c r="I502" t="n">
        <x:f>--AND(H502=1,G502=1)</x:f>
        <x:v>0</x:v>
      </x:c>
      <x:c r="J502" t="n">
        <x:f>--AND(F502=1,E502='Calculator'!$B$4)</x:f>
        <x:v>0</x:v>
      </x:c>
      <x:c r="K502" t="n">
        <x:f>--AND(J502=1,G502=1)</x:f>
        <x:v>0</x:v>
      </x:c>
      <x:c r="L502" t="str">
        <x:f>A502&amp;"/"&amp;B502&amp;"/"&amp;C502</x:f>
        <x:v>11/6/6</x:v>
      </x:c>
      <x:c r="M502" t="str">
        <x:f>MIN(15,A502+'Calculator'!$B$6)&amp;"/"&amp;MIN(15,B502+'Calculator'!$B$6)&amp;"/"&amp;MIN(15,C502+'Calculator'!$B$6)</x:f>
        <x:v>13/8/8</x:v>
      </x:c>
    </x:row>
    <x:row r="503">
      <x:c r="A503" t="n">
        <x:v>11</x:v>
      </x:c>
      <x:c r="B503" t="n">
        <x:v>6</x:v>
      </x:c>
      <x:c r="C503" t="n">
        <x:v>7</x:v>
      </x:c>
      <x:c r="D503" t="n">
        <x:f>MAX(10,ROUNDDOWN((('Calculator'!$B$10+A503)*SQRT('Calculator'!$B$11+B503)*SQRT('Calculator'!$B$12+C503)*0.59740001^2)/10,0))</x:f>
        <x:v>2262</x:v>
      </x:c>
      <x:c r="E503" t="n">
        <x:f>MAX(10,ROUNDDOWN((('Calculator'!$B$10+A503)*SQRT('Calculator'!$B$11+B503)*SQRT('Calculator'!$B$12+C503)*0.667934^2)/10,0))</x:f>
        <x:v>2828</x:v>
      </x:c>
      <x:c r="F503" t="n">
        <x:f>--AND(A503&gt;='Calculator'!$B$5,B503&gt;='Calculator'!$B$5,C503&gt;='Calculator'!$B$5)</x:f>
        <x:v>1</x:v>
      </x:c>
      <x:c r="G503" t="n">
        <x:f>--AND(A503+'Calculator'!$B$6&gt;=15,B503+'Calculator'!$B$6&gt;=15,C503+'Calculator'!$B$6&gt;=15)</x:f>
        <x:v>0</x:v>
      </x:c>
      <x:c r="H503" t="n">
        <x:f>--AND(F503=1,D503='Calculator'!$B$4)</x:f>
        <x:v>0</x:v>
      </x:c>
      <x:c r="I503" t="n">
        <x:f>--AND(H503=1,G503=1)</x:f>
        <x:v>0</x:v>
      </x:c>
      <x:c r="J503" t="n">
        <x:f>--AND(F503=1,E503='Calculator'!$B$4)</x:f>
        <x:v>0</x:v>
      </x:c>
      <x:c r="K503" t="n">
        <x:f>--AND(J503=1,G503=1)</x:f>
        <x:v>0</x:v>
      </x:c>
      <x:c r="L503" t="str">
        <x:f>A503&amp;"/"&amp;B503&amp;"/"&amp;C503</x:f>
        <x:v>11/6/7</x:v>
      </x:c>
      <x:c r="M503" t="str">
        <x:f>MIN(15,A503+'Calculator'!$B$6)&amp;"/"&amp;MIN(15,B503+'Calculator'!$B$6)&amp;"/"&amp;MIN(15,C503+'Calculator'!$B$6)</x:f>
        <x:v>13/8/9</x:v>
      </x:c>
    </x:row>
    <x:row r="504">
      <x:c r="A504" t="n">
        <x:v>11</x:v>
      </x:c>
      <x:c r="B504" t="n">
        <x:v>6</x:v>
      </x:c>
      <x:c r="C504" t="n">
        <x:v>8</x:v>
      </x:c>
      <x:c r="D504" t="n">
        <x:f>MAX(10,ROUNDDOWN((('Calculator'!$B$10+A504)*SQRT('Calculator'!$B$11+B504)*SQRT('Calculator'!$B$12+C504)*0.59740001^2)/10,0))</x:f>
        <x:v>2267</x:v>
      </x:c>
      <x:c r="E504" t="n">
        <x:f>MAX(10,ROUNDDOWN((('Calculator'!$B$10+A504)*SQRT('Calculator'!$B$11+B504)*SQRT('Calculator'!$B$12+C504)*0.667934^2)/10,0))</x:f>
        <x:v>2834</x:v>
      </x:c>
      <x:c r="F504" t="n">
        <x:f>--AND(A504&gt;='Calculator'!$B$5,B504&gt;='Calculator'!$B$5,C504&gt;='Calculator'!$B$5)</x:f>
        <x:v>1</x:v>
      </x:c>
      <x:c r="G504" t="n">
        <x:f>--AND(A504+'Calculator'!$B$6&gt;=15,B504+'Calculator'!$B$6&gt;=15,C504+'Calculator'!$B$6&gt;=15)</x:f>
        <x:v>0</x:v>
      </x:c>
      <x:c r="H504" t="n">
        <x:f>--AND(F504=1,D504='Calculator'!$B$4)</x:f>
        <x:v>0</x:v>
      </x:c>
      <x:c r="I504" t="n">
        <x:f>--AND(H504=1,G504=1)</x:f>
        <x:v>0</x:v>
      </x:c>
      <x:c r="J504" t="n">
        <x:f>--AND(F504=1,E504='Calculator'!$B$4)</x:f>
        <x:v>0</x:v>
      </x:c>
      <x:c r="K504" t="n">
        <x:f>--AND(J504=1,G504=1)</x:f>
        <x:v>0</x:v>
      </x:c>
      <x:c r="L504" t="str">
        <x:f>A504&amp;"/"&amp;B504&amp;"/"&amp;C504</x:f>
        <x:v>11/6/8</x:v>
      </x:c>
      <x:c r="M504" t="str">
        <x:f>MIN(15,A504+'Calculator'!$B$6)&amp;"/"&amp;MIN(15,B504+'Calculator'!$B$6)&amp;"/"&amp;MIN(15,C504+'Calculator'!$B$6)</x:f>
        <x:v>13/8/10</x:v>
      </x:c>
    </x:row>
    <x:row r="505">
      <x:c r="A505" t="n">
        <x:v>11</x:v>
      </x:c>
      <x:c r="B505" t="n">
        <x:v>6</x:v>
      </x:c>
      <x:c r="C505" t="n">
        <x:v>9</x:v>
      </x:c>
      <x:c r="D505" t="n">
        <x:f>MAX(10,ROUNDDOWN((('Calculator'!$B$10+A505)*SQRT('Calculator'!$B$11+B505)*SQRT('Calculator'!$B$12+C505)*0.59740001^2)/10,0))</x:f>
        <x:v>2272</x:v>
      </x:c>
      <x:c r="E505" t="n">
        <x:f>MAX(10,ROUNDDOWN((('Calculator'!$B$10+A505)*SQRT('Calculator'!$B$11+B505)*SQRT('Calculator'!$B$12+C505)*0.667934^2)/10,0))</x:f>
        <x:v>2840</x:v>
      </x:c>
      <x:c r="F505" t="n">
        <x:f>--AND(A505&gt;='Calculator'!$B$5,B505&gt;='Calculator'!$B$5,C505&gt;='Calculator'!$B$5)</x:f>
        <x:v>1</x:v>
      </x:c>
      <x:c r="G505" t="n">
        <x:f>--AND(A505+'Calculator'!$B$6&gt;=15,B505+'Calculator'!$B$6&gt;=15,C505+'Calculator'!$B$6&gt;=15)</x:f>
        <x:v>0</x:v>
      </x:c>
      <x:c r="H505" t="n">
        <x:f>--AND(F505=1,D505='Calculator'!$B$4)</x:f>
        <x:v>0</x:v>
      </x:c>
      <x:c r="I505" t="n">
        <x:f>--AND(H505=1,G505=1)</x:f>
        <x:v>0</x:v>
      </x:c>
      <x:c r="J505" t="n">
        <x:f>--AND(F505=1,E505='Calculator'!$B$4)</x:f>
        <x:v>0</x:v>
      </x:c>
      <x:c r="K505" t="n">
        <x:f>--AND(J505=1,G505=1)</x:f>
        <x:v>0</x:v>
      </x:c>
      <x:c r="L505" t="str">
        <x:f>A505&amp;"/"&amp;B505&amp;"/"&amp;C505</x:f>
        <x:v>11/6/9</x:v>
      </x:c>
      <x:c r="M505" t="str">
        <x:f>MIN(15,A505+'Calculator'!$B$6)&amp;"/"&amp;MIN(15,B505+'Calculator'!$B$6)&amp;"/"&amp;MIN(15,C505+'Calculator'!$B$6)</x:f>
        <x:v>13/8/11</x:v>
      </x:c>
    </x:row>
    <x:row r="506">
      <x:c r="A506" t="n">
        <x:v>11</x:v>
      </x:c>
      <x:c r="B506" t="n">
        <x:v>6</x:v>
      </x:c>
      <x:c r="C506" t="n">
        <x:v>10</x:v>
      </x:c>
      <x:c r="D506" t="n">
        <x:f>MAX(10,ROUNDDOWN((('Calculator'!$B$10+A506)*SQRT('Calculator'!$B$11+B506)*SQRT('Calculator'!$B$12+C506)*0.59740001^2)/10,0))</x:f>
        <x:v>2277</x:v>
      </x:c>
      <x:c r="E506" t="n">
        <x:f>MAX(10,ROUNDDOWN((('Calculator'!$B$10+A506)*SQRT('Calculator'!$B$11+B506)*SQRT('Calculator'!$B$12+C506)*0.667934^2)/10,0))</x:f>
        <x:v>2847</x:v>
      </x:c>
      <x:c r="F506" t="n">
        <x:f>--AND(A506&gt;='Calculator'!$B$5,B506&gt;='Calculator'!$B$5,C506&gt;='Calculator'!$B$5)</x:f>
        <x:v>1</x:v>
      </x:c>
      <x:c r="G506" t="n">
        <x:f>--AND(A506+'Calculator'!$B$6&gt;=15,B506+'Calculator'!$B$6&gt;=15,C506+'Calculator'!$B$6&gt;=15)</x:f>
        <x:v>0</x:v>
      </x:c>
      <x:c r="H506" t="n">
        <x:f>--AND(F506=1,D506='Calculator'!$B$4)</x:f>
        <x:v>0</x:v>
      </x:c>
      <x:c r="I506" t="n">
        <x:f>--AND(H506=1,G506=1)</x:f>
        <x:v>0</x:v>
      </x:c>
      <x:c r="J506" t="n">
        <x:f>--AND(F506=1,E506='Calculator'!$B$4)</x:f>
        <x:v>0</x:v>
      </x:c>
      <x:c r="K506" t="n">
        <x:f>--AND(J506=1,G506=1)</x:f>
        <x:v>0</x:v>
      </x:c>
      <x:c r="L506" t="str">
        <x:f>A506&amp;"/"&amp;B506&amp;"/"&amp;C506</x:f>
        <x:v>11/6/10</x:v>
      </x:c>
      <x:c r="M506" t="str">
        <x:f>MIN(15,A506+'Calculator'!$B$6)&amp;"/"&amp;MIN(15,B506+'Calculator'!$B$6)&amp;"/"&amp;MIN(15,C506+'Calculator'!$B$6)</x:f>
        <x:v>13/8/12</x:v>
      </x:c>
    </x:row>
    <x:row r="507">
      <x:c r="A507" t="n">
        <x:v>11</x:v>
      </x:c>
      <x:c r="B507" t="n">
        <x:v>6</x:v>
      </x:c>
      <x:c r="C507" t="n">
        <x:v>11</x:v>
      </x:c>
      <x:c r="D507" t="n">
        <x:f>MAX(10,ROUNDDOWN((('Calculator'!$B$10+A507)*SQRT('Calculator'!$B$11+B507)*SQRT('Calculator'!$B$12+C507)*0.59740001^2)/10,0))</x:f>
        <x:v>2282</x:v>
      </x:c>
      <x:c r="E507" t="n">
        <x:f>MAX(10,ROUNDDOWN((('Calculator'!$B$10+A507)*SQRT('Calculator'!$B$11+B507)*SQRT('Calculator'!$B$12+C507)*0.667934^2)/10,0))</x:f>
        <x:v>2853</x:v>
      </x:c>
      <x:c r="F507" t="n">
        <x:f>--AND(A507&gt;='Calculator'!$B$5,B507&gt;='Calculator'!$B$5,C507&gt;='Calculator'!$B$5)</x:f>
        <x:v>1</x:v>
      </x:c>
      <x:c r="G507" t="n">
        <x:f>--AND(A507+'Calculator'!$B$6&gt;=15,B507+'Calculator'!$B$6&gt;=15,C507+'Calculator'!$B$6&gt;=15)</x:f>
        <x:v>0</x:v>
      </x:c>
      <x:c r="H507" t="n">
        <x:f>--AND(F507=1,D507='Calculator'!$B$4)</x:f>
        <x:v>0</x:v>
      </x:c>
      <x:c r="I507" t="n">
        <x:f>--AND(H507=1,G507=1)</x:f>
        <x:v>0</x:v>
      </x:c>
      <x:c r="J507" t="n">
        <x:f>--AND(F507=1,E507='Calculator'!$B$4)</x:f>
        <x:v>0</x:v>
      </x:c>
      <x:c r="K507" t="n">
        <x:f>--AND(J507=1,G507=1)</x:f>
        <x:v>0</x:v>
      </x:c>
      <x:c r="L507" t="str">
        <x:f>A507&amp;"/"&amp;B507&amp;"/"&amp;C507</x:f>
        <x:v>11/6/11</x:v>
      </x:c>
      <x:c r="M507" t="str">
        <x:f>MIN(15,A507+'Calculator'!$B$6)&amp;"/"&amp;MIN(15,B507+'Calculator'!$B$6)&amp;"/"&amp;MIN(15,C507+'Calculator'!$B$6)</x:f>
        <x:v>13/8/13</x:v>
      </x:c>
    </x:row>
    <x:row r="508">
      <x:c r="A508" t="n">
        <x:v>11</x:v>
      </x:c>
      <x:c r="B508" t="n">
        <x:v>6</x:v>
      </x:c>
      <x:c r="C508" t="n">
        <x:v>12</x:v>
      </x:c>
      <x:c r="D508" t="n">
        <x:f>MAX(10,ROUNDDOWN((('Calculator'!$B$10+A508)*SQRT('Calculator'!$B$11+B508)*SQRT('Calculator'!$B$12+C508)*0.59740001^2)/10,0))</x:f>
        <x:v>2287</x:v>
      </x:c>
      <x:c r="E508" t="n">
        <x:f>MAX(10,ROUNDDOWN((('Calculator'!$B$10+A508)*SQRT('Calculator'!$B$11+B508)*SQRT('Calculator'!$B$12+C508)*0.667934^2)/10,0))</x:f>
        <x:v>2859</x:v>
      </x:c>
      <x:c r="F508" t="n">
        <x:f>--AND(A508&gt;='Calculator'!$B$5,B508&gt;='Calculator'!$B$5,C508&gt;='Calculator'!$B$5)</x:f>
        <x:v>1</x:v>
      </x:c>
      <x:c r="G508" t="n">
        <x:f>--AND(A508+'Calculator'!$B$6&gt;=15,B508+'Calculator'!$B$6&gt;=15,C508+'Calculator'!$B$6&gt;=15)</x:f>
        <x:v>0</x:v>
      </x:c>
      <x:c r="H508" t="n">
        <x:f>--AND(F508=1,D508='Calculator'!$B$4)</x:f>
        <x:v>0</x:v>
      </x:c>
      <x:c r="I508" t="n">
        <x:f>--AND(H508=1,G508=1)</x:f>
        <x:v>0</x:v>
      </x:c>
      <x:c r="J508" t="n">
        <x:f>--AND(F508=1,E508='Calculator'!$B$4)</x:f>
        <x:v>0</x:v>
      </x:c>
      <x:c r="K508" t="n">
        <x:f>--AND(J508=1,G508=1)</x:f>
        <x:v>0</x:v>
      </x:c>
      <x:c r="L508" t="str">
        <x:f>A508&amp;"/"&amp;B508&amp;"/"&amp;C508</x:f>
        <x:v>11/6/12</x:v>
      </x:c>
      <x:c r="M508" t="str">
        <x:f>MIN(15,A508+'Calculator'!$B$6)&amp;"/"&amp;MIN(15,B508+'Calculator'!$B$6)&amp;"/"&amp;MIN(15,C508+'Calculator'!$B$6)</x:f>
        <x:v>13/8/14</x:v>
      </x:c>
    </x:row>
    <x:row r="509">
      <x:c r="A509" t="n">
        <x:v>11</x:v>
      </x:c>
      <x:c r="B509" t="n">
        <x:v>6</x:v>
      </x:c>
      <x:c r="C509" t="n">
        <x:v>13</x:v>
      </x:c>
      <x:c r="D509" t="n">
        <x:f>MAX(10,ROUNDDOWN((('Calculator'!$B$10+A509)*SQRT('Calculator'!$B$11+B509)*SQRT('Calculator'!$B$12+C509)*0.59740001^2)/10,0))</x:f>
        <x:v>2292</x:v>
      </x:c>
      <x:c r="E509" t="n">
        <x:f>MAX(10,ROUNDDOWN((('Calculator'!$B$10+A509)*SQRT('Calculator'!$B$11+B509)*SQRT('Calculator'!$B$12+C509)*0.667934^2)/10,0))</x:f>
        <x:v>2866</x:v>
      </x:c>
      <x:c r="F509" t="n">
        <x:f>--AND(A509&gt;='Calculator'!$B$5,B509&gt;='Calculator'!$B$5,C509&gt;='Calculator'!$B$5)</x:f>
        <x:v>1</x:v>
      </x:c>
      <x:c r="G509" t="n">
        <x:f>--AND(A509+'Calculator'!$B$6&gt;=15,B509+'Calculator'!$B$6&gt;=15,C509+'Calculator'!$B$6&gt;=15)</x:f>
        <x:v>0</x:v>
      </x:c>
      <x:c r="H509" t="n">
        <x:f>--AND(F509=1,D509='Calculator'!$B$4)</x:f>
        <x:v>0</x:v>
      </x:c>
      <x:c r="I509" t="n">
        <x:f>--AND(H509=1,G509=1)</x:f>
        <x:v>0</x:v>
      </x:c>
      <x:c r="J509" t="n">
        <x:f>--AND(F509=1,E509='Calculator'!$B$4)</x:f>
        <x:v>0</x:v>
      </x:c>
      <x:c r="K509" t="n">
        <x:f>--AND(J509=1,G509=1)</x:f>
        <x:v>0</x:v>
      </x:c>
      <x:c r="L509" t="str">
        <x:f>A509&amp;"/"&amp;B509&amp;"/"&amp;C509</x:f>
        <x:v>11/6/13</x:v>
      </x:c>
      <x:c r="M509" t="str">
        <x:f>MIN(15,A509+'Calculator'!$B$6)&amp;"/"&amp;MIN(15,B509+'Calculator'!$B$6)&amp;"/"&amp;MIN(15,C509+'Calculator'!$B$6)</x:f>
        <x:v>13/8/15</x:v>
      </x:c>
    </x:row>
    <x:row r="510">
      <x:c r="A510" t="n">
        <x:v>11</x:v>
      </x:c>
      <x:c r="B510" t="n">
        <x:v>6</x:v>
      </x:c>
      <x:c r="C510" t="n">
        <x:v>14</x:v>
      </x:c>
      <x:c r="D510" t="n">
        <x:f>MAX(10,ROUNDDOWN((('Calculator'!$B$10+A510)*SQRT('Calculator'!$B$11+B510)*SQRT('Calculator'!$B$12+C510)*0.59740001^2)/10,0))</x:f>
        <x:v>2297</x:v>
      </x:c>
      <x:c r="E510" t="n">
        <x:f>MAX(10,ROUNDDOWN((('Calculator'!$B$10+A510)*SQRT('Calculator'!$B$11+B510)*SQRT('Calculator'!$B$12+C510)*0.667934^2)/10,0))</x:f>
        <x:v>2872</x:v>
      </x:c>
      <x:c r="F510" t="n">
        <x:f>--AND(A510&gt;='Calculator'!$B$5,B510&gt;='Calculator'!$B$5,C510&gt;='Calculator'!$B$5)</x:f>
        <x:v>1</x:v>
      </x:c>
      <x:c r="G510" t="n">
        <x:f>--AND(A510+'Calculator'!$B$6&gt;=15,B510+'Calculator'!$B$6&gt;=15,C510+'Calculator'!$B$6&gt;=15)</x:f>
        <x:v>0</x:v>
      </x:c>
      <x:c r="H510" t="n">
        <x:f>--AND(F510=1,D510='Calculator'!$B$4)</x:f>
        <x:v>0</x:v>
      </x:c>
      <x:c r="I510" t="n">
        <x:f>--AND(H510=1,G510=1)</x:f>
        <x:v>0</x:v>
      </x:c>
      <x:c r="J510" t="n">
        <x:f>--AND(F510=1,E510='Calculator'!$B$4)</x:f>
        <x:v>0</x:v>
      </x:c>
      <x:c r="K510" t="n">
        <x:f>--AND(J510=1,G510=1)</x:f>
        <x:v>0</x:v>
      </x:c>
      <x:c r="L510" t="str">
        <x:f>A510&amp;"/"&amp;B510&amp;"/"&amp;C510</x:f>
        <x:v>11/6/14</x:v>
      </x:c>
      <x:c r="M510" t="str">
        <x:f>MIN(15,A510+'Calculator'!$B$6)&amp;"/"&amp;MIN(15,B510+'Calculator'!$B$6)&amp;"/"&amp;MIN(15,C510+'Calculator'!$B$6)</x:f>
        <x:v>13/8/15</x:v>
      </x:c>
    </x:row>
    <x:row r="511">
      <x:c r="A511" t="n">
        <x:v>11</x:v>
      </x:c>
      <x:c r="B511" t="n">
        <x:v>6</x:v>
      </x:c>
      <x:c r="C511" t="n">
        <x:v>15</x:v>
      </x:c>
      <x:c r="D511" t="n">
        <x:f>MAX(10,ROUNDDOWN((('Calculator'!$B$10+A511)*SQRT('Calculator'!$B$11+B511)*SQRT('Calculator'!$B$12+C511)*0.59740001^2)/10,0))</x:f>
        <x:v>2302</x:v>
      </x:c>
      <x:c r="E511" t="n">
        <x:f>MAX(10,ROUNDDOWN((('Calculator'!$B$10+A511)*SQRT('Calculator'!$B$11+B511)*SQRT('Calculator'!$B$12+C511)*0.667934^2)/10,0))</x:f>
        <x:v>2878</x:v>
      </x:c>
      <x:c r="F511" t="n">
        <x:f>--AND(A511&gt;='Calculator'!$B$5,B511&gt;='Calculator'!$B$5,C511&gt;='Calculator'!$B$5)</x:f>
        <x:v>1</x:v>
      </x:c>
      <x:c r="G511" t="n">
        <x:f>--AND(A511+'Calculator'!$B$6&gt;=15,B511+'Calculator'!$B$6&gt;=15,C511+'Calculator'!$B$6&gt;=15)</x:f>
        <x:v>0</x:v>
      </x:c>
      <x:c r="H511" t="n">
        <x:f>--AND(F511=1,D511='Calculator'!$B$4)</x:f>
        <x:v>0</x:v>
      </x:c>
      <x:c r="I511" t="n">
        <x:f>--AND(H511=1,G511=1)</x:f>
        <x:v>0</x:v>
      </x:c>
      <x:c r="J511" t="n">
        <x:f>--AND(F511=1,E511='Calculator'!$B$4)</x:f>
        <x:v>0</x:v>
      </x:c>
      <x:c r="K511" t="n">
        <x:f>--AND(J511=1,G511=1)</x:f>
        <x:v>0</x:v>
      </x:c>
      <x:c r="L511" t="str">
        <x:f>A511&amp;"/"&amp;B511&amp;"/"&amp;C511</x:f>
        <x:v>11/6/15</x:v>
      </x:c>
      <x:c r="M511" t="str">
        <x:f>MIN(15,A511+'Calculator'!$B$6)&amp;"/"&amp;MIN(15,B511+'Calculator'!$B$6)&amp;"/"&amp;MIN(15,C511+'Calculator'!$B$6)</x:f>
        <x:v>13/8/15</x:v>
      </x:c>
    </x:row>
    <x:row r="512">
      <x:c r="A512" t="n">
        <x:v>11</x:v>
      </x:c>
      <x:c r="B512" t="n">
        <x:v>7</x:v>
      </x:c>
      <x:c r="C512" t="n">
        <x:v>6</x:v>
      </x:c>
      <x:c r="D512" t="n">
        <x:f>MAX(10,ROUNDDOWN((('Calculator'!$B$10+A512)*SQRT('Calculator'!$B$11+B512)*SQRT('Calculator'!$B$12+C512)*0.59740001^2)/10,0))</x:f>
        <x:v>2263</x:v>
      </x:c>
      <x:c r="E512" t="n">
        <x:f>MAX(10,ROUNDDOWN((('Calculator'!$B$10+A512)*SQRT('Calculator'!$B$11+B512)*SQRT('Calculator'!$B$12+C512)*0.667934^2)/10,0))</x:f>
        <x:v>2829</x:v>
      </x:c>
      <x:c r="F512" t="n">
        <x:f>--AND(A512&gt;='Calculator'!$B$5,B512&gt;='Calculator'!$B$5,C512&gt;='Calculator'!$B$5)</x:f>
        <x:v>1</x:v>
      </x:c>
      <x:c r="G512" t="n">
        <x:f>--AND(A512+'Calculator'!$B$6&gt;=15,B512+'Calculator'!$B$6&gt;=15,C512+'Calculator'!$B$6&gt;=15)</x:f>
        <x:v>0</x:v>
      </x:c>
      <x:c r="H512" t="n">
        <x:f>--AND(F512=1,D512='Calculator'!$B$4)</x:f>
        <x:v>0</x:v>
      </x:c>
      <x:c r="I512" t="n">
        <x:f>--AND(H512=1,G512=1)</x:f>
        <x:v>0</x:v>
      </x:c>
      <x:c r="J512" t="n">
        <x:f>--AND(F512=1,E512='Calculator'!$B$4)</x:f>
        <x:v>0</x:v>
      </x:c>
      <x:c r="K512" t="n">
        <x:f>--AND(J512=1,G512=1)</x:f>
        <x:v>0</x:v>
      </x:c>
      <x:c r="L512" t="str">
        <x:f>A512&amp;"/"&amp;B512&amp;"/"&amp;C512</x:f>
        <x:v>11/7/6</x:v>
      </x:c>
      <x:c r="M512" t="str">
        <x:f>MIN(15,A512+'Calculator'!$B$6)&amp;"/"&amp;MIN(15,B512+'Calculator'!$B$6)&amp;"/"&amp;MIN(15,C512+'Calculator'!$B$6)</x:f>
        <x:v>13/9/8</x:v>
      </x:c>
    </x:row>
    <x:row r="513">
      <x:c r="A513" t="n">
        <x:v>11</x:v>
      </x:c>
      <x:c r="B513" t="n">
        <x:v>7</x:v>
      </x:c>
      <x:c r="C513" t="n">
        <x:v>7</x:v>
      </x:c>
      <x:c r="D513" t="n">
        <x:f>MAX(10,ROUNDDOWN((('Calculator'!$B$10+A513)*SQRT('Calculator'!$B$11+B513)*SQRT('Calculator'!$B$12+C513)*0.59740001^2)/10,0))</x:f>
        <x:v>2268</x:v>
      </x:c>
      <x:c r="E513" t="n">
        <x:f>MAX(10,ROUNDDOWN((('Calculator'!$B$10+A513)*SQRT('Calculator'!$B$11+B513)*SQRT('Calculator'!$B$12+C513)*0.667934^2)/10,0))</x:f>
        <x:v>2835</x:v>
      </x:c>
      <x:c r="F513" t="n">
        <x:f>--AND(A513&gt;='Calculator'!$B$5,B513&gt;='Calculator'!$B$5,C513&gt;='Calculator'!$B$5)</x:f>
        <x:v>1</x:v>
      </x:c>
      <x:c r="G513" t="n">
        <x:f>--AND(A513+'Calculator'!$B$6&gt;=15,B513+'Calculator'!$B$6&gt;=15,C513+'Calculator'!$B$6&gt;=15)</x:f>
        <x:v>0</x:v>
      </x:c>
      <x:c r="H513" t="n">
        <x:f>--AND(F513=1,D513='Calculator'!$B$4)</x:f>
        <x:v>0</x:v>
      </x:c>
      <x:c r="I513" t="n">
        <x:f>--AND(H513=1,G513=1)</x:f>
        <x:v>0</x:v>
      </x:c>
      <x:c r="J513" t="n">
        <x:f>--AND(F513=1,E513='Calculator'!$B$4)</x:f>
        <x:v>0</x:v>
      </x:c>
      <x:c r="K513" t="n">
        <x:f>--AND(J513=1,G513=1)</x:f>
        <x:v>0</x:v>
      </x:c>
      <x:c r="L513" t="str">
        <x:f>A513&amp;"/"&amp;B513&amp;"/"&amp;C513</x:f>
        <x:v>11/7/7</x:v>
      </x:c>
      <x:c r="M513" t="str">
        <x:f>MIN(15,A513+'Calculator'!$B$6)&amp;"/"&amp;MIN(15,B513+'Calculator'!$B$6)&amp;"/"&amp;MIN(15,C513+'Calculator'!$B$6)</x:f>
        <x:v>13/9/9</x:v>
      </x:c>
    </x:row>
    <x:row r="514">
      <x:c r="A514" t="n">
        <x:v>11</x:v>
      </x:c>
      <x:c r="B514" t="n">
        <x:v>7</x:v>
      </x:c>
      <x:c r="C514" t="n">
        <x:v>8</x:v>
      </x:c>
      <x:c r="D514" t="n">
        <x:f>MAX(10,ROUNDDOWN((('Calculator'!$B$10+A514)*SQRT('Calculator'!$B$11+B514)*SQRT('Calculator'!$B$12+C514)*0.59740001^2)/10,0))</x:f>
        <x:v>2273</x:v>
      </x:c>
      <x:c r="E514" t="n">
        <x:f>MAX(10,ROUNDDOWN((('Calculator'!$B$10+A514)*SQRT('Calculator'!$B$11+B514)*SQRT('Calculator'!$B$12+C514)*0.667934^2)/10,0))</x:f>
        <x:v>2842</x:v>
      </x:c>
      <x:c r="F514" t="n">
        <x:f>--AND(A514&gt;='Calculator'!$B$5,B514&gt;='Calculator'!$B$5,C514&gt;='Calculator'!$B$5)</x:f>
        <x:v>1</x:v>
      </x:c>
      <x:c r="G514" t="n">
        <x:f>--AND(A514+'Calculator'!$B$6&gt;=15,B514+'Calculator'!$B$6&gt;=15,C514+'Calculator'!$B$6&gt;=15)</x:f>
        <x:v>0</x:v>
      </x:c>
      <x:c r="H514" t="n">
        <x:f>--AND(F514=1,D514='Calculator'!$B$4)</x:f>
        <x:v>0</x:v>
      </x:c>
      <x:c r="I514" t="n">
        <x:f>--AND(H514=1,G514=1)</x:f>
        <x:v>0</x:v>
      </x:c>
      <x:c r="J514" t="n">
        <x:f>--AND(F514=1,E514='Calculator'!$B$4)</x:f>
        <x:v>0</x:v>
      </x:c>
      <x:c r="K514" t="n">
        <x:f>--AND(J514=1,G514=1)</x:f>
        <x:v>0</x:v>
      </x:c>
      <x:c r="L514" t="str">
        <x:f>A514&amp;"/"&amp;B514&amp;"/"&amp;C514</x:f>
        <x:v>11/7/8</x:v>
      </x:c>
      <x:c r="M514" t="str">
        <x:f>MIN(15,A514+'Calculator'!$B$6)&amp;"/"&amp;MIN(15,B514+'Calculator'!$B$6)&amp;"/"&amp;MIN(15,C514+'Calculator'!$B$6)</x:f>
        <x:v>13/9/10</x:v>
      </x:c>
    </x:row>
    <x:row r="515">
      <x:c r="A515" t="n">
        <x:v>11</x:v>
      </x:c>
      <x:c r="B515" t="n">
        <x:v>7</x:v>
      </x:c>
      <x:c r="C515" t="n">
        <x:v>9</x:v>
      </x:c>
      <x:c r="D515" t="n">
        <x:f>MAX(10,ROUNDDOWN((('Calculator'!$B$10+A515)*SQRT('Calculator'!$B$11+B515)*SQRT('Calculator'!$B$12+C515)*0.59740001^2)/10,0))</x:f>
        <x:v>2278</x:v>
      </x:c>
      <x:c r="E515" t="n">
        <x:f>MAX(10,ROUNDDOWN((('Calculator'!$B$10+A515)*SQRT('Calculator'!$B$11+B515)*SQRT('Calculator'!$B$12+C515)*0.667934^2)/10,0))</x:f>
        <x:v>2848</x:v>
      </x:c>
      <x:c r="F515" t="n">
        <x:f>--AND(A515&gt;='Calculator'!$B$5,B515&gt;='Calculator'!$B$5,C515&gt;='Calculator'!$B$5)</x:f>
        <x:v>1</x:v>
      </x:c>
      <x:c r="G515" t="n">
        <x:f>--AND(A515+'Calculator'!$B$6&gt;=15,B515+'Calculator'!$B$6&gt;=15,C515+'Calculator'!$B$6&gt;=15)</x:f>
        <x:v>0</x:v>
      </x:c>
      <x:c r="H515" t="n">
        <x:f>--AND(F515=1,D515='Calculator'!$B$4)</x:f>
        <x:v>0</x:v>
      </x:c>
      <x:c r="I515" t="n">
        <x:f>--AND(H515=1,G515=1)</x:f>
        <x:v>0</x:v>
      </x:c>
      <x:c r="J515" t="n">
        <x:f>--AND(F515=1,E515='Calculator'!$B$4)</x:f>
        <x:v>0</x:v>
      </x:c>
      <x:c r="K515" t="n">
        <x:f>--AND(J515=1,G515=1)</x:f>
        <x:v>0</x:v>
      </x:c>
      <x:c r="L515" t="str">
        <x:f>A515&amp;"/"&amp;B515&amp;"/"&amp;C515</x:f>
        <x:v>11/7/9</x:v>
      </x:c>
      <x:c r="M515" t="str">
        <x:f>MIN(15,A515+'Calculator'!$B$6)&amp;"/"&amp;MIN(15,B515+'Calculator'!$B$6)&amp;"/"&amp;MIN(15,C515+'Calculator'!$B$6)</x:f>
        <x:v>13/9/11</x:v>
      </x:c>
    </x:row>
    <x:row r="516">
      <x:c r="A516" t="n">
        <x:v>11</x:v>
      </x:c>
      <x:c r="B516" t="n">
        <x:v>7</x:v>
      </x:c>
      <x:c r="C516" t="n">
        <x:v>10</x:v>
      </x:c>
      <x:c r="D516" t="n">
        <x:f>MAX(10,ROUNDDOWN((('Calculator'!$B$10+A516)*SQRT('Calculator'!$B$11+B516)*SQRT('Calculator'!$B$12+C516)*0.59740001^2)/10,0))</x:f>
        <x:v>2283</x:v>
      </x:c>
      <x:c r="E516" t="n">
        <x:f>MAX(10,ROUNDDOWN((('Calculator'!$B$10+A516)*SQRT('Calculator'!$B$11+B516)*SQRT('Calculator'!$B$12+C516)*0.667934^2)/10,0))</x:f>
        <x:v>2854</x:v>
      </x:c>
      <x:c r="F516" t="n">
        <x:f>--AND(A516&gt;='Calculator'!$B$5,B516&gt;='Calculator'!$B$5,C516&gt;='Calculator'!$B$5)</x:f>
        <x:v>1</x:v>
      </x:c>
      <x:c r="G516" t="n">
        <x:f>--AND(A516+'Calculator'!$B$6&gt;=15,B516+'Calculator'!$B$6&gt;=15,C516+'Calculator'!$B$6&gt;=15)</x:f>
        <x:v>0</x:v>
      </x:c>
      <x:c r="H516" t="n">
        <x:f>--AND(F516=1,D516='Calculator'!$B$4)</x:f>
        <x:v>0</x:v>
      </x:c>
      <x:c r="I516" t="n">
        <x:f>--AND(H516=1,G516=1)</x:f>
        <x:v>0</x:v>
      </x:c>
      <x:c r="J516" t="n">
        <x:f>--AND(F516=1,E516='Calculator'!$B$4)</x:f>
        <x:v>0</x:v>
      </x:c>
      <x:c r="K516" t="n">
        <x:f>--AND(J516=1,G516=1)</x:f>
        <x:v>0</x:v>
      </x:c>
      <x:c r="L516" t="str">
        <x:f>A516&amp;"/"&amp;B516&amp;"/"&amp;C516</x:f>
        <x:v>11/7/10</x:v>
      </x:c>
      <x:c r="M516" t="str">
        <x:f>MIN(15,A516+'Calculator'!$B$6)&amp;"/"&amp;MIN(15,B516+'Calculator'!$B$6)&amp;"/"&amp;MIN(15,C516+'Calculator'!$B$6)</x:f>
        <x:v>13/9/12</x:v>
      </x:c>
    </x:row>
    <x:row r="517">
      <x:c r="A517" t="n">
        <x:v>11</x:v>
      </x:c>
      <x:c r="B517" t="n">
        <x:v>7</x:v>
      </x:c>
      <x:c r="C517" t="n">
        <x:v>11</x:v>
      </x:c>
      <x:c r="D517" t="n">
        <x:f>MAX(10,ROUNDDOWN((('Calculator'!$B$10+A517)*SQRT('Calculator'!$B$11+B517)*SQRT('Calculator'!$B$12+C517)*0.59740001^2)/10,0))</x:f>
        <x:v>2288</x:v>
      </x:c>
      <x:c r="E517" t="n">
        <x:f>MAX(10,ROUNDDOWN((('Calculator'!$B$10+A517)*SQRT('Calculator'!$B$11+B517)*SQRT('Calculator'!$B$12+C517)*0.667934^2)/10,0))</x:f>
        <x:v>2861</x:v>
      </x:c>
      <x:c r="F517" t="n">
        <x:f>--AND(A517&gt;='Calculator'!$B$5,B517&gt;='Calculator'!$B$5,C517&gt;='Calculator'!$B$5)</x:f>
        <x:v>1</x:v>
      </x:c>
      <x:c r="G517" t="n">
        <x:f>--AND(A517+'Calculator'!$B$6&gt;=15,B517+'Calculator'!$B$6&gt;=15,C517+'Calculator'!$B$6&gt;=15)</x:f>
        <x:v>0</x:v>
      </x:c>
      <x:c r="H517" t="n">
        <x:f>--AND(F517=1,D517='Calculator'!$B$4)</x:f>
        <x:v>0</x:v>
      </x:c>
      <x:c r="I517" t="n">
        <x:f>--AND(H517=1,G517=1)</x:f>
        <x:v>0</x:v>
      </x:c>
      <x:c r="J517" t="n">
        <x:f>--AND(F517=1,E517='Calculator'!$B$4)</x:f>
        <x:v>0</x:v>
      </x:c>
      <x:c r="K517" t="n">
        <x:f>--AND(J517=1,G517=1)</x:f>
        <x:v>0</x:v>
      </x:c>
      <x:c r="L517" t="str">
        <x:f>A517&amp;"/"&amp;B517&amp;"/"&amp;C517</x:f>
        <x:v>11/7/11</x:v>
      </x:c>
      <x:c r="M517" t="str">
        <x:f>MIN(15,A517+'Calculator'!$B$6)&amp;"/"&amp;MIN(15,B517+'Calculator'!$B$6)&amp;"/"&amp;MIN(15,C517+'Calculator'!$B$6)</x:f>
        <x:v>13/9/13</x:v>
      </x:c>
    </x:row>
    <x:row r="518">
      <x:c r="A518" t="n">
        <x:v>11</x:v>
      </x:c>
      <x:c r="B518" t="n">
        <x:v>7</x:v>
      </x:c>
      <x:c r="C518" t="n">
        <x:v>12</x:v>
      </x:c>
      <x:c r="D518" t="n">
        <x:f>MAX(10,ROUNDDOWN((('Calculator'!$B$10+A518)*SQRT('Calculator'!$B$11+B518)*SQRT('Calculator'!$B$12+C518)*0.59740001^2)/10,0))</x:f>
        <x:v>2293</x:v>
      </x:c>
      <x:c r="E518" t="n">
        <x:f>MAX(10,ROUNDDOWN((('Calculator'!$B$10+A518)*SQRT('Calculator'!$B$11+B518)*SQRT('Calculator'!$B$12+C518)*0.667934^2)/10,0))</x:f>
        <x:v>2867</x:v>
      </x:c>
      <x:c r="F518" t="n">
        <x:f>--AND(A518&gt;='Calculator'!$B$5,B518&gt;='Calculator'!$B$5,C518&gt;='Calculator'!$B$5)</x:f>
        <x:v>1</x:v>
      </x:c>
      <x:c r="G518" t="n">
        <x:f>--AND(A518+'Calculator'!$B$6&gt;=15,B518+'Calculator'!$B$6&gt;=15,C518+'Calculator'!$B$6&gt;=15)</x:f>
        <x:v>0</x:v>
      </x:c>
      <x:c r="H518" t="n">
        <x:f>--AND(F518=1,D518='Calculator'!$B$4)</x:f>
        <x:v>0</x:v>
      </x:c>
      <x:c r="I518" t="n">
        <x:f>--AND(H518=1,G518=1)</x:f>
        <x:v>0</x:v>
      </x:c>
      <x:c r="J518" t="n">
        <x:f>--AND(F518=1,E518='Calculator'!$B$4)</x:f>
        <x:v>0</x:v>
      </x:c>
      <x:c r="K518" t="n">
        <x:f>--AND(J518=1,G518=1)</x:f>
        <x:v>0</x:v>
      </x:c>
      <x:c r="L518" t="str">
        <x:f>A518&amp;"/"&amp;B518&amp;"/"&amp;C518</x:f>
        <x:v>11/7/12</x:v>
      </x:c>
      <x:c r="M518" t="str">
        <x:f>MIN(15,A518+'Calculator'!$B$6)&amp;"/"&amp;MIN(15,B518+'Calculator'!$B$6)&amp;"/"&amp;MIN(15,C518+'Calculator'!$B$6)</x:f>
        <x:v>13/9/14</x:v>
      </x:c>
    </x:row>
    <x:row r="519">
      <x:c r="A519" t="n">
        <x:v>11</x:v>
      </x:c>
      <x:c r="B519" t="n">
        <x:v>7</x:v>
      </x:c>
      <x:c r="C519" t="n">
        <x:v>13</x:v>
      </x:c>
      <x:c r="D519" t="n">
        <x:f>MAX(10,ROUNDDOWN((('Calculator'!$B$10+A519)*SQRT('Calculator'!$B$11+B519)*SQRT('Calculator'!$B$12+C519)*0.59740001^2)/10,0))</x:f>
        <x:v>2298</x:v>
      </x:c>
      <x:c r="E519" t="n">
        <x:f>MAX(10,ROUNDDOWN((('Calculator'!$B$10+A519)*SQRT('Calculator'!$B$11+B519)*SQRT('Calculator'!$B$12+C519)*0.667934^2)/10,0))</x:f>
        <x:v>2873</x:v>
      </x:c>
      <x:c r="F519" t="n">
        <x:f>--AND(A519&gt;='Calculator'!$B$5,B519&gt;='Calculator'!$B$5,C519&gt;='Calculator'!$B$5)</x:f>
        <x:v>1</x:v>
      </x:c>
      <x:c r="G519" t="n">
        <x:f>--AND(A519+'Calculator'!$B$6&gt;=15,B519+'Calculator'!$B$6&gt;=15,C519+'Calculator'!$B$6&gt;=15)</x:f>
        <x:v>0</x:v>
      </x:c>
      <x:c r="H519" t="n">
        <x:f>--AND(F519=1,D519='Calculator'!$B$4)</x:f>
        <x:v>0</x:v>
      </x:c>
      <x:c r="I519" t="n">
        <x:f>--AND(H519=1,G519=1)</x:f>
        <x:v>0</x:v>
      </x:c>
      <x:c r="J519" t="n">
        <x:f>--AND(F519=1,E519='Calculator'!$B$4)</x:f>
        <x:v>0</x:v>
      </x:c>
      <x:c r="K519" t="n">
        <x:f>--AND(J519=1,G519=1)</x:f>
        <x:v>0</x:v>
      </x:c>
      <x:c r="L519" t="str">
        <x:f>A519&amp;"/"&amp;B519&amp;"/"&amp;C519</x:f>
        <x:v>11/7/13</x:v>
      </x:c>
      <x:c r="M519" t="str">
        <x:f>MIN(15,A519+'Calculator'!$B$6)&amp;"/"&amp;MIN(15,B519+'Calculator'!$B$6)&amp;"/"&amp;MIN(15,C519+'Calculator'!$B$6)</x:f>
        <x:v>13/9/15</x:v>
      </x:c>
    </x:row>
    <x:row r="520">
      <x:c r="A520" t="n">
        <x:v>11</x:v>
      </x:c>
      <x:c r="B520" t="n">
        <x:v>7</x:v>
      </x:c>
      <x:c r="C520" t="n">
        <x:v>14</x:v>
      </x:c>
      <x:c r="D520" t="n">
        <x:f>MAX(10,ROUNDDOWN((('Calculator'!$B$10+A520)*SQRT('Calculator'!$B$11+B520)*SQRT('Calculator'!$B$12+C520)*0.59740001^2)/10,0))</x:f>
        <x:v>2304</x:v>
      </x:c>
      <x:c r="E520" t="n">
        <x:f>MAX(10,ROUNDDOWN((('Calculator'!$B$10+A520)*SQRT('Calculator'!$B$11+B520)*SQRT('Calculator'!$B$12+C520)*0.667934^2)/10,0))</x:f>
        <x:v>2880</x:v>
      </x:c>
      <x:c r="F520" t="n">
        <x:f>--AND(A520&gt;='Calculator'!$B$5,B520&gt;='Calculator'!$B$5,C520&gt;='Calculator'!$B$5)</x:f>
        <x:v>1</x:v>
      </x:c>
      <x:c r="G520" t="n">
        <x:f>--AND(A520+'Calculator'!$B$6&gt;=15,B520+'Calculator'!$B$6&gt;=15,C520+'Calculator'!$B$6&gt;=15)</x:f>
        <x:v>0</x:v>
      </x:c>
      <x:c r="H520" t="n">
        <x:f>--AND(F520=1,D520='Calculator'!$B$4)</x:f>
        <x:v>0</x:v>
      </x:c>
      <x:c r="I520" t="n">
        <x:f>--AND(H520=1,G520=1)</x:f>
        <x:v>0</x:v>
      </x:c>
      <x:c r="J520" t="n">
        <x:f>--AND(F520=1,E520='Calculator'!$B$4)</x:f>
        <x:v>0</x:v>
      </x:c>
      <x:c r="K520" t="n">
        <x:f>--AND(J520=1,G520=1)</x:f>
        <x:v>0</x:v>
      </x:c>
      <x:c r="L520" t="str">
        <x:f>A520&amp;"/"&amp;B520&amp;"/"&amp;C520</x:f>
        <x:v>11/7/14</x:v>
      </x:c>
      <x:c r="M520" t="str">
        <x:f>MIN(15,A520+'Calculator'!$B$6)&amp;"/"&amp;MIN(15,B520+'Calculator'!$B$6)&amp;"/"&amp;MIN(15,C520+'Calculator'!$B$6)</x:f>
        <x:v>13/9/15</x:v>
      </x:c>
    </x:row>
    <x:row r="521">
      <x:c r="A521" t="n">
        <x:v>11</x:v>
      </x:c>
      <x:c r="B521" t="n">
        <x:v>7</x:v>
      </x:c>
      <x:c r="C521" t="n">
        <x:v>15</x:v>
      </x:c>
      <x:c r="D521" t="n">
        <x:f>MAX(10,ROUNDDOWN((('Calculator'!$B$10+A521)*SQRT('Calculator'!$B$11+B521)*SQRT('Calculator'!$B$12+C521)*0.59740001^2)/10,0))</x:f>
        <x:v>2309</x:v>
      </x:c>
      <x:c r="E521" t="n">
        <x:f>MAX(10,ROUNDDOWN((('Calculator'!$B$10+A521)*SQRT('Calculator'!$B$11+B521)*SQRT('Calculator'!$B$12+C521)*0.667934^2)/10,0))</x:f>
        <x:v>2886</x:v>
      </x:c>
      <x:c r="F521" t="n">
        <x:f>--AND(A521&gt;='Calculator'!$B$5,B521&gt;='Calculator'!$B$5,C521&gt;='Calculator'!$B$5)</x:f>
        <x:v>1</x:v>
      </x:c>
      <x:c r="G521" t="n">
        <x:f>--AND(A521+'Calculator'!$B$6&gt;=15,B521+'Calculator'!$B$6&gt;=15,C521+'Calculator'!$B$6&gt;=15)</x:f>
        <x:v>0</x:v>
      </x:c>
      <x:c r="H521" t="n">
        <x:f>--AND(F521=1,D521='Calculator'!$B$4)</x:f>
        <x:v>0</x:v>
      </x:c>
      <x:c r="I521" t="n">
        <x:f>--AND(H521=1,G521=1)</x:f>
        <x:v>0</x:v>
      </x:c>
      <x:c r="J521" t="n">
        <x:f>--AND(F521=1,E521='Calculator'!$B$4)</x:f>
        <x:v>0</x:v>
      </x:c>
      <x:c r="K521" t="n">
        <x:f>--AND(J521=1,G521=1)</x:f>
        <x:v>0</x:v>
      </x:c>
      <x:c r="L521" t="str">
        <x:f>A521&amp;"/"&amp;B521&amp;"/"&amp;C521</x:f>
        <x:v>11/7/15</x:v>
      </x:c>
      <x:c r="M521" t="str">
        <x:f>MIN(15,A521+'Calculator'!$B$6)&amp;"/"&amp;MIN(15,B521+'Calculator'!$B$6)&amp;"/"&amp;MIN(15,C521+'Calculator'!$B$6)</x:f>
        <x:v>13/9/15</x:v>
      </x:c>
    </x:row>
    <x:row r="522">
      <x:c r="A522" t="n">
        <x:v>11</x:v>
      </x:c>
      <x:c r="B522" t="n">
        <x:v>8</x:v>
      </x:c>
      <x:c r="C522" t="n">
        <x:v>6</x:v>
      </x:c>
      <x:c r="D522" t="n">
        <x:f>MAX(10,ROUNDDOWN((('Calculator'!$B$10+A522)*SQRT('Calculator'!$B$11+B522)*SQRT('Calculator'!$B$12+C522)*0.59740001^2)/10,0))</x:f>
        <x:v>2269</x:v>
      </x:c>
      <x:c r="E522" t="n">
        <x:f>MAX(10,ROUNDDOWN((('Calculator'!$B$10+A522)*SQRT('Calculator'!$B$11+B522)*SQRT('Calculator'!$B$12+C522)*0.667934^2)/10,0))</x:f>
        <x:v>2836</x:v>
      </x:c>
      <x:c r="F522" t="n">
        <x:f>--AND(A522&gt;='Calculator'!$B$5,B522&gt;='Calculator'!$B$5,C522&gt;='Calculator'!$B$5)</x:f>
        <x:v>1</x:v>
      </x:c>
      <x:c r="G522" t="n">
        <x:f>--AND(A522+'Calculator'!$B$6&gt;=15,B522+'Calculator'!$B$6&gt;=15,C522+'Calculator'!$B$6&gt;=15)</x:f>
        <x:v>0</x:v>
      </x:c>
      <x:c r="H522" t="n">
        <x:f>--AND(F522=1,D522='Calculator'!$B$4)</x:f>
        <x:v>0</x:v>
      </x:c>
      <x:c r="I522" t="n">
        <x:f>--AND(H522=1,G522=1)</x:f>
        <x:v>0</x:v>
      </x:c>
      <x:c r="J522" t="n">
        <x:f>--AND(F522=1,E522='Calculator'!$B$4)</x:f>
        <x:v>0</x:v>
      </x:c>
      <x:c r="K522" t="n">
        <x:f>--AND(J522=1,G522=1)</x:f>
        <x:v>0</x:v>
      </x:c>
      <x:c r="L522" t="str">
        <x:f>A522&amp;"/"&amp;B522&amp;"/"&amp;C522</x:f>
        <x:v>11/8/6</x:v>
      </x:c>
      <x:c r="M522" t="str">
        <x:f>MIN(15,A522+'Calculator'!$B$6)&amp;"/"&amp;MIN(15,B522+'Calculator'!$B$6)&amp;"/"&amp;MIN(15,C522+'Calculator'!$B$6)</x:f>
        <x:v>13/10/8</x:v>
      </x:c>
    </x:row>
    <x:row r="523">
      <x:c r="A523" t="n">
        <x:v>11</x:v>
      </x:c>
      <x:c r="B523" t="n">
        <x:v>8</x:v>
      </x:c>
      <x:c r="C523" t="n">
        <x:v>7</x:v>
      </x:c>
      <x:c r="D523" t="n">
        <x:f>MAX(10,ROUNDDOWN((('Calculator'!$B$10+A523)*SQRT('Calculator'!$B$11+B523)*SQRT('Calculator'!$B$12+C523)*0.59740001^2)/10,0))</x:f>
        <x:v>2274</x:v>
      </x:c>
      <x:c r="E523" t="n">
        <x:f>MAX(10,ROUNDDOWN((('Calculator'!$B$10+A523)*SQRT('Calculator'!$B$11+B523)*SQRT('Calculator'!$B$12+C523)*0.667934^2)/10,0))</x:f>
        <x:v>2843</x:v>
      </x:c>
      <x:c r="F523" t="n">
        <x:f>--AND(A523&gt;='Calculator'!$B$5,B523&gt;='Calculator'!$B$5,C523&gt;='Calculator'!$B$5)</x:f>
        <x:v>1</x:v>
      </x:c>
      <x:c r="G523" t="n">
        <x:f>--AND(A523+'Calculator'!$B$6&gt;=15,B523+'Calculator'!$B$6&gt;=15,C523+'Calculator'!$B$6&gt;=15)</x:f>
        <x:v>0</x:v>
      </x:c>
      <x:c r="H523" t="n">
        <x:f>--AND(F523=1,D523='Calculator'!$B$4)</x:f>
        <x:v>0</x:v>
      </x:c>
      <x:c r="I523" t="n">
        <x:f>--AND(H523=1,G523=1)</x:f>
        <x:v>0</x:v>
      </x:c>
      <x:c r="J523" t="n">
        <x:f>--AND(F523=1,E523='Calculator'!$B$4)</x:f>
        <x:v>0</x:v>
      </x:c>
      <x:c r="K523" t="n">
        <x:f>--AND(J523=1,G523=1)</x:f>
        <x:v>0</x:v>
      </x:c>
      <x:c r="L523" t="str">
        <x:f>A523&amp;"/"&amp;B523&amp;"/"&amp;C523</x:f>
        <x:v>11/8/7</x:v>
      </x:c>
      <x:c r="M523" t="str">
        <x:f>MIN(15,A523+'Calculator'!$B$6)&amp;"/"&amp;MIN(15,B523+'Calculator'!$B$6)&amp;"/"&amp;MIN(15,C523+'Calculator'!$B$6)</x:f>
        <x:v>13/10/9</x:v>
      </x:c>
    </x:row>
    <x:row r="524">
      <x:c r="A524" t="n">
        <x:v>11</x:v>
      </x:c>
      <x:c r="B524" t="n">
        <x:v>8</x:v>
      </x:c>
      <x:c r="C524" t="n">
        <x:v>8</x:v>
      </x:c>
      <x:c r="D524" t="n">
        <x:f>MAX(10,ROUNDDOWN((('Calculator'!$B$10+A524)*SQRT('Calculator'!$B$11+B524)*SQRT('Calculator'!$B$12+C524)*0.59740001^2)/10,0))</x:f>
        <x:v>2279</x:v>
      </x:c>
      <x:c r="E524" t="n">
        <x:f>MAX(10,ROUNDDOWN((('Calculator'!$B$10+A524)*SQRT('Calculator'!$B$11+B524)*SQRT('Calculator'!$B$12+C524)*0.667934^2)/10,0))</x:f>
        <x:v>2849</x:v>
      </x:c>
      <x:c r="F524" t="n">
        <x:f>--AND(A524&gt;='Calculator'!$B$5,B524&gt;='Calculator'!$B$5,C524&gt;='Calculator'!$B$5)</x:f>
        <x:v>1</x:v>
      </x:c>
      <x:c r="G524" t="n">
        <x:f>--AND(A524+'Calculator'!$B$6&gt;=15,B524+'Calculator'!$B$6&gt;=15,C524+'Calculator'!$B$6&gt;=15)</x:f>
        <x:v>0</x:v>
      </x:c>
      <x:c r="H524" t="n">
        <x:f>--AND(F524=1,D524='Calculator'!$B$4)</x:f>
        <x:v>0</x:v>
      </x:c>
      <x:c r="I524" t="n">
        <x:f>--AND(H524=1,G524=1)</x:f>
        <x:v>0</x:v>
      </x:c>
      <x:c r="J524" t="n">
        <x:f>--AND(F524=1,E524='Calculator'!$B$4)</x:f>
        <x:v>0</x:v>
      </x:c>
      <x:c r="K524" t="n">
        <x:f>--AND(J524=1,G524=1)</x:f>
        <x:v>0</x:v>
      </x:c>
      <x:c r="L524" t="str">
        <x:f>A524&amp;"/"&amp;B524&amp;"/"&amp;C524</x:f>
        <x:v>11/8/8</x:v>
      </x:c>
      <x:c r="M524" t="str">
        <x:f>MIN(15,A524+'Calculator'!$B$6)&amp;"/"&amp;MIN(15,B524+'Calculator'!$B$6)&amp;"/"&amp;MIN(15,C524+'Calculator'!$B$6)</x:f>
        <x:v>13/10/10</x:v>
      </x:c>
    </x:row>
    <x:row r="525">
      <x:c r="A525" t="n">
        <x:v>11</x:v>
      </x:c>
      <x:c r="B525" t="n">
        <x:v>8</x:v>
      </x:c>
      <x:c r="C525" t="n">
        <x:v>9</x:v>
      </x:c>
      <x:c r="D525" t="n">
        <x:f>MAX(10,ROUNDDOWN((('Calculator'!$B$10+A525)*SQRT('Calculator'!$B$11+B525)*SQRT('Calculator'!$B$12+C525)*0.59740001^2)/10,0))</x:f>
        <x:v>2284</x:v>
      </x:c>
      <x:c r="E525" t="n">
        <x:f>MAX(10,ROUNDDOWN((('Calculator'!$B$10+A525)*SQRT('Calculator'!$B$11+B525)*SQRT('Calculator'!$B$12+C525)*0.667934^2)/10,0))</x:f>
        <x:v>2855</x:v>
      </x:c>
      <x:c r="F525" t="n">
        <x:f>--AND(A525&gt;='Calculator'!$B$5,B525&gt;='Calculator'!$B$5,C525&gt;='Calculator'!$B$5)</x:f>
        <x:v>1</x:v>
      </x:c>
      <x:c r="G525" t="n">
        <x:f>--AND(A525+'Calculator'!$B$6&gt;=15,B525+'Calculator'!$B$6&gt;=15,C525+'Calculator'!$B$6&gt;=15)</x:f>
        <x:v>0</x:v>
      </x:c>
      <x:c r="H525" t="n">
        <x:f>--AND(F525=1,D525='Calculator'!$B$4)</x:f>
        <x:v>0</x:v>
      </x:c>
      <x:c r="I525" t="n">
        <x:f>--AND(H525=1,G525=1)</x:f>
        <x:v>0</x:v>
      </x:c>
      <x:c r="J525" t="n">
        <x:f>--AND(F525=1,E525='Calculator'!$B$4)</x:f>
        <x:v>0</x:v>
      </x:c>
      <x:c r="K525" t="n">
        <x:f>--AND(J525=1,G525=1)</x:f>
        <x:v>0</x:v>
      </x:c>
      <x:c r="L525" t="str">
        <x:f>A525&amp;"/"&amp;B525&amp;"/"&amp;C525</x:f>
        <x:v>11/8/9</x:v>
      </x:c>
      <x:c r="M525" t="str">
        <x:f>MIN(15,A525+'Calculator'!$B$6)&amp;"/"&amp;MIN(15,B525+'Calculator'!$B$6)&amp;"/"&amp;MIN(15,C525+'Calculator'!$B$6)</x:f>
        <x:v>13/10/11</x:v>
      </x:c>
    </x:row>
    <x:row r="526">
      <x:c r="A526" t="n">
        <x:v>11</x:v>
      </x:c>
      <x:c r="B526" t="n">
        <x:v>8</x:v>
      </x:c>
      <x:c r="C526" t="n">
        <x:v>10</x:v>
      </x:c>
      <x:c r="D526" t="n">
        <x:f>MAX(10,ROUNDDOWN((('Calculator'!$B$10+A526)*SQRT('Calculator'!$B$11+B526)*SQRT('Calculator'!$B$12+C526)*0.59740001^2)/10,0))</x:f>
        <x:v>2289</x:v>
      </x:c>
      <x:c r="E526" t="n">
        <x:f>MAX(10,ROUNDDOWN((('Calculator'!$B$10+A526)*SQRT('Calculator'!$B$11+B526)*SQRT('Calculator'!$B$12+C526)*0.667934^2)/10,0))</x:f>
        <x:v>2862</x:v>
      </x:c>
      <x:c r="F526" t="n">
        <x:f>--AND(A526&gt;='Calculator'!$B$5,B526&gt;='Calculator'!$B$5,C526&gt;='Calculator'!$B$5)</x:f>
        <x:v>1</x:v>
      </x:c>
      <x:c r="G526" t="n">
        <x:f>--AND(A526+'Calculator'!$B$6&gt;=15,B526+'Calculator'!$B$6&gt;=15,C526+'Calculator'!$B$6&gt;=15)</x:f>
        <x:v>0</x:v>
      </x:c>
      <x:c r="H526" t="n">
        <x:f>--AND(F526=1,D526='Calculator'!$B$4)</x:f>
        <x:v>0</x:v>
      </x:c>
      <x:c r="I526" t="n">
        <x:f>--AND(H526=1,G526=1)</x:f>
        <x:v>0</x:v>
      </x:c>
      <x:c r="J526" t="n">
        <x:f>--AND(F526=1,E526='Calculator'!$B$4)</x:f>
        <x:v>0</x:v>
      </x:c>
      <x:c r="K526" t="n">
        <x:f>--AND(J526=1,G526=1)</x:f>
        <x:v>0</x:v>
      </x:c>
      <x:c r="L526" t="str">
        <x:f>A526&amp;"/"&amp;B526&amp;"/"&amp;C526</x:f>
        <x:v>11/8/10</x:v>
      </x:c>
      <x:c r="M526" t="str">
        <x:f>MIN(15,A526+'Calculator'!$B$6)&amp;"/"&amp;MIN(15,B526+'Calculator'!$B$6)&amp;"/"&amp;MIN(15,C526+'Calculator'!$B$6)</x:f>
        <x:v>13/10/12</x:v>
      </x:c>
    </x:row>
    <x:row r="527">
      <x:c r="A527" t="n">
        <x:v>11</x:v>
      </x:c>
      <x:c r="B527" t="n">
        <x:v>8</x:v>
      </x:c>
      <x:c r="C527" t="n">
        <x:v>11</x:v>
      </x:c>
      <x:c r="D527" t="n">
        <x:f>MAX(10,ROUNDDOWN((('Calculator'!$B$10+A527)*SQRT('Calculator'!$B$11+B527)*SQRT('Calculator'!$B$12+C527)*0.59740001^2)/10,0))</x:f>
        <x:v>2294</x:v>
      </x:c>
      <x:c r="E527" t="n">
        <x:f>MAX(10,ROUNDDOWN((('Calculator'!$B$10+A527)*SQRT('Calculator'!$B$11+B527)*SQRT('Calculator'!$B$12+C527)*0.667934^2)/10,0))</x:f>
        <x:v>2868</x:v>
      </x:c>
      <x:c r="F527" t="n">
        <x:f>--AND(A527&gt;='Calculator'!$B$5,B527&gt;='Calculator'!$B$5,C527&gt;='Calculator'!$B$5)</x:f>
        <x:v>1</x:v>
      </x:c>
      <x:c r="G527" t="n">
        <x:f>--AND(A527+'Calculator'!$B$6&gt;=15,B527+'Calculator'!$B$6&gt;=15,C527+'Calculator'!$B$6&gt;=15)</x:f>
        <x:v>0</x:v>
      </x:c>
      <x:c r="H527" t="n">
        <x:f>--AND(F527=1,D527='Calculator'!$B$4)</x:f>
        <x:v>0</x:v>
      </x:c>
      <x:c r="I527" t="n">
        <x:f>--AND(H527=1,G527=1)</x:f>
        <x:v>0</x:v>
      </x:c>
      <x:c r="J527" t="n">
        <x:f>--AND(F527=1,E527='Calculator'!$B$4)</x:f>
        <x:v>0</x:v>
      </x:c>
      <x:c r="K527" t="n">
        <x:f>--AND(J527=1,G527=1)</x:f>
        <x:v>0</x:v>
      </x:c>
      <x:c r="L527" t="str">
        <x:f>A527&amp;"/"&amp;B527&amp;"/"&amp;C527</x:f>
        <x:v>11/8/11</x:v>
      </x:c>
      <x:c r="M527" t="str">
        <x:f>MIN(15,A527+'Calculator'!$B$6)&amp;"/"&amp;MIN(15,B527+'Calculator'!$B$6)&amp;"/"&amp;MIN(15,C527+'Calculator'!$B$6)</x:f>
        <x:v>13/10/13</x:v>
      </x:c>
    </x:row>
    <x:row r="528">
      <x:c r="A528" t="n">
        <x:v>11</x:v>
      </x:c>
      <x:c r="B528" t="n">
        <x:v>8</x:v>
      </x:c>
      <x:c r="C528" t="n">
        <x:v>12</x:v>
      </x:c>
      <x:c r="D528" t="n">
        <x:f>MAX(10,ROUNDDOWN((('Calculator'!$B$10+A528)*SQRT('Calculator'!$B$11+B528)*SQRT('Calculator'!$B$12+C528)*0.59740001^2)/10,0))</x:f>
        <x:v>2299</x:v>
      </x:c>
      <x:c r="E528" t="n">
        <x:f>MAX(10,ROUNDDOWN((('Calculator'!$B$10+A528)*SQRT('Calculator'!$B$11+B528)*SQRT('Calculator'!$B$12+C528)*0.667934^2)/10,0))</x:f>
        <x:v>2875</x:v>
      </x:c>
      <x:c r="F528" t="n">
        <x:f>--AND(A528&gt;='Calculator'!$B$5,B528&gt;='Calculator'!$B$5,C528&gt;='Calculator'!$B$5)</x:f>
        <x:v>1</x:v>
      </x:c>
      <x:c r="G528" t="n">
        <x:f>--AND(A528+'Calculator'!$B$6&gt;=15,B528+'Calculator'!$B$6&gt;=15,C528+'Calculator'!$B$6&gt;=15)</x:f>
        <x:v>0</x:v>
      </x:c>
      <x:c r="H528" t="n">
        <x:f>--AND(F528=1,D528='Calculator'!$B$4)</x:f>
        <x:v>0</x:v>
      </x:c>
      <x:c r="I528" t="n">
        <x:f>--AND(H528=1,G528=1)</x:f>
        <x:v>0</x:v>
      </x:c>
      <x:c r="J528" t="n">
        <x:f>--AND(F528=1,E528='Calculator'!$B$4)</x:f>
        <x:v>0</x:v>
      </x:c>
      <x:c r="K528" t="n">
        <x:f>--AND(J528=1,G528=1)</x:f>
        <x:v>0</x:v>
      </x:c>
      <x:c r="L528" t="str">
        <x:f>A528&amp;"/"&amp;B528&amp;"/"&amp;C528</x:f>
        <x:v>11/8/12</x:v>
      </x:c>
      <x:c r="M528" t="str">
        <x:f>MIN(15,A528+'Calculator'!$B$6)&amp;"/"&amp;MIN(15,B528+'Calculator'!$B$6)&amp;"/"&amp;MIN(15,C528+'Calculator'!$B$6)</x:f>
        <x:v>13/10/14</x:v>
      </x:c>
    </x:row>
    <x:row r="529">
      <x:c r="A529" t="n">
        <x:v>11</x:v>
      </x:c>
      <x:c r="B529" t="n">
        <x:v>8</x:v>
      </x:c>
      <x:c r="C529" t="n">
        <x:v>13</x:v>
      </x:c>
      <x:c r="D529" t="n">
        <x:f>MAX(10,ROUNDDOWN((('Calculator'!$B$10+A529)*SQRT('Calculator'!$B$11+B529)*SQRT('Calculator'!$B$12+C529)*0.59740001^2)/10,0))</x:f>
        <x:v>2305</x:v>
      </x:c>
      <x:c r="E529" t="n">
        <x:f>MAX(10,ROUNDDOWN((('Calculator'!$B$10+A529)*SQRT('Calculator'!$B$11+B529)*SQRT('Calculator'!$B$12+C529)*0.667934^2)/10,0))</x:f>
        <x:v>2881</x:v>
      </x:c>
      <x:c r="F529" t="n">
        <x:f>--AND(A529&gt;='Calculator'!$B$5,B529&gt;='Calculator'!$B$5,C529&gt;='Calculator'!$B$5)</x:f>
        <x:v>1</x:v>
      </x:c>
      <x:c r="G529" t="n">
        <x:f>--AND(A529+'Calculator'!$B$6&gt;=15,B529+'Calculator'!$B$6&gt;=15,C529+'Calculator'!$B$6&gt;=15)</x:f>
        <x:v>0</x:v>
      </x:c>
      <x:c r="H529" t="n">
        <x:f>--AND(F529=1,D529='Calculator'!$B$4)</x:f>
        <x:v>0</x:v>
      </x:c>
      <x:c r="I529" t="n">
        <x:f>--AND(H529=1,G529=1)</x:f>
        <x:v>0</x:v>
      </x:c>
      <x:c r="J529" t="n">
        <x:f>--AND(F529=1,E529='Calculator'!$B$4)</x:f>
        <x:v>0</x:v>
      </x:c>
      <x:c r="K529" t="n">
        <x:f>--AND(J529=1,G529=1)</x:f>
        <x:v>0</x:v>
      </x:c>
      <x:c r="L529" t="str">
        <x:f>A529&amp;"/"&amp;B529&amp;"/"&amp;C529</x:f>
        <x:v>11/8/13</x:v>
      </x:c>
      <x:c r="M529" t="str">
        <x:f>MIN(15,A529+'Calculator'!$B$6)&amp;"/"&amp;MIN(15,B529+'Calculator'!$B$6)&amp;"/"&amp;MIN(15,C529+'Calculator'!$B$6)</x:f>
        <x:v>13/10/15</x:v>
      </x:c>
    </x:row>
    <x:row r="530">
      <x:c r="A530" t="n">
        <x:v>11</x:v>
      </x:c>
      <x:c r="B530" t="n">
        <x:v>8</x:v>
      </x:c>
      <x:c r="C530" t="n">
        <x:v>14</x:v>
      </x:c>
      <x:c r="D530" t="n">
        <x:f>MAX(10,ROUNDDOWN((('Calculator'!$B$10+A530)*SQRT('Calculator'!$B$11+B530)*SQRT('Calculator'!$B$12+C530)*0.59740001^2)/10,0))</x:f>
        <x:v>2310</x:v>
      </x:c>
      <x:c r="E530" t="n">
        <x:f>MAX(10,ROUNDDOWN((('Calculator'!$B$10+A530)*SQRT('Calculator'!$B$11+B530)*SQRT('Calculator'!$B$12+C530)*0.667934^2)/10,0))</x:f>
        <x:v>2887</x:v>
      </x:c>
      <x:c r="F530" t="n">
        <x:f>--AND(A530&gt;='Calculator'!$B$5,B530&gt;='Calculator'!$B$5,C530&gt;='Calculator'!$B$5)</x:f>
        <x:v>1</x:v>
      </x:c>
      <x:c r="G530" t="n">
        <x:f>--AND(A530+'Calculator'!$B$6&gt;=15,B530+'Calculator'!$B$6&gt;=15,C530+'Calculator'!$B$6&gt;=15)</x:f>
        <x:v>0</x:v>
      </x:c>
      <x:c r="H530" t="n">
        <x:f>--AND(F530=1,D530='Calculator'!$B$4)</x:f>
        <x:v>0</x:v>
      </x:c>
      <x:c r="I530" t="n">
        <x:f>--AND(H530=1,G530=1)</x:f>
        <x:v>0</x:v>
      </x:c>
      <x:c r="J530" t="n">
        <x:f>--AND(F530=1,E530='Calculator'!$B$4)</x:f>
        <x:v>0</x:v>
      </x:c>
      <x:c r="K530" t="n">
        <x:f>--AND(J530=1,G530=1)</x:f>
        <x:v>0</x:v>
      </x:c>
      <x:c r="L530" t="str">
        <x:f>A530&amp;"/"&amp;B530&amp;"/"&amp;C530</x:f>
        <x:v>11/8/14</x:v>
      </x:c>
      <x:c r="M530" t="str">
        <x:f>MIN(15,A530+'Calculator'!$B$6)&amp;"/"&amp;MIN(15,B530+'Calculator'!$B$6)&amp;"/"&amp;MIN(15,C530+'Calculator'!$B$6)</x:f>
        <x:v>13/10/15</x:v>
      </x:c>
    </x:row>
    <x:row r="531">
      <x:c r="A531" t="n">
        <x:v>11</x:v>
      </x:c>
      <x:c r="B531" t="n">
        <x:v>8</x:v>
      </x:c>
      <x:c r="C531" t="n">
        <x:v>15</x:v>
      </x:c>
      <x:c r="D531" t="n">
        <x:f>MAX(10,ROUNDDOWN((('Calculator'!$B$10+A531)*SQRT('Calculator'!$B$11+B531)*SQRT('Calculator'!$B$12+C531)*0.59740001^2)/10,0))</x:f>
        <x:v>2315</x:v>
      </x:c>
      <x:c r="E531" t="n">
        <x:f>MAX(10,ROUNDDOWN((('Calculator'!$B$10+A531)*SQRT('Calculator'!$B$11+B531)*SQRT('Calculator'!$B$12+C531)*0.667934^2)/10,0))</x:f>
        <x:v>2894</x:v>
      </x:c>
      <x:c r="F531" t="n">
        <x:f>--AND(A531&gt;='Calculator'!$B$5,B531&gt;='Calculator'!$B$5,C531&gt;='Calculator'!$B$5)</x:f>
        <x:v>1</x:v>
      </x:c>
      <x:c r="G531" t="n">
        <x:f>--AND(A531+'Calculator'!$B$6&gt;=15,B531+'Calculator'!$B$6&gt;=15,C531+'Calculator'!$B$6&gt;=15)</x:f>
        <x:v>0</x:v>
      </x:c>
      <x:c r="H531" t="n">
        <x:f>--AND(F531=1,D531='Calculator'!$B$4)</x:f>
        <x:v>0</x:v>
      </x:c>
      <x:c r="I531" t="n">
        <x:f>--AND(H531=1,G531=1)</x:f>
        <x:v>0</x:v>
      </x:c>
      <x:c r="J531" t="n">
        <x:f>--AND(F531=1,E531='Calculator'!$B$4)</x:f>
        <x:v>0</x:v>
      </x:c>
      <x:c r="K531" t="n">
        <x:f>--AND(J531=1,G531=1)</x:f>
        <x:v>0</x:v>
      </x:c>
      <x:c r="L531" t="str">
        <x:f>A531&amp;"/"&amp;B531&amp;"/"&amp;C531</x:f>
        <x:v>11/8/15</x:v>
      </x:c>
      <x:c r="M531" t="str">
        <x:f>MIN(15,A531+'Calculator'!$B$6)&amp;"/"&amp;MIN(15,B531+'Calculator'!$B$6)&amp;"/"&amp;MIN(15,C531+'Calculator'!$B$6)</x:f>
        <x:v>13/10/15</x:v>
      </x:c>
    </x:row>
    <x:row r="532">
      <x:c r="A532" t="n">
        <x:v>11</x:v>
      </x:c>
      <x:c r="B532" t="n">
        <x:v>9</x:v>
      </x:c>
      <x:c r="C532" t="n">
        <x:v>6</x:v>
      </x:c>
      <x:c r="D532" t="n">
        <x:f>MAX(10,ROUNDDOWN((('Calculator'!$B$10+A532)*SQRT('Calculator'!$B$11+B532)*SQRT('Calculator'!$B$12+C532)*0.59740001^2)/10,0))</x:f>
        <x:v>2275</x:v>
      </x:c>
      <x:c r="E532" t="n">
        <x:f>MAX(10,ROUNDDOWN((('Calculator'!$B$10+A532)*SQRT('Calculator'!$B$11+B532)*SQRT('Calculator'!$B$12+C532)*0.667934^2)/10,0))</x:f>
        <x:v>2844</x:v>
      </x:c>
      <x:c r="F532" t="n">
        <x:f>--AND(A532&gt;='Calculator'!$B$5,B532&gt;='Calculator'!$B$5,C532&gt;='Calculator'!$B$5)</x:f>
        <x:v>1</x:v>
      </x:c>
      <x:c r="G532" t="n">
        <x:f>--AND(A532+'Calculator'!$B$6&gt;=15,B532+'Calculator'!$B$6&gt;=15,C532+'Calculator'!$B$6&gt;=15)</x:f>
        <x:v>0</x:v>
      </x:c>
      <x:c r="H532" t="n">
        <x:f>--AND(F532=1,D532='Calculator'!$B$4)</x:f>
        <x:v>0</x:v>
      </x:c>
      <x:c r="I532" t="n">
        <x:f>--AND(H532=1,G532=1)</x:f>
        <x:v>0</x:v>
      </x:c>
      <x:c r="J532" t="n">
        <x:f>--AND(F532=1,E532='Calculator'!$B$4)</x:f>
        <x:v>0</x:v>
      </x:c>
      <x:c r="K532" t="n">
        <x:f>--AND(J532=1,G532=1)</x:f>
        <x:v>0</x:v>
      </x:c>
      <x:c r="L532" t="str">
        <x:f>A532&amp;"/"&amp;B532&amp;"/"&amp;C532</x:f>
        <x:v>11/9/6</x:v>
      </x:c>
      <x:c r="M532" t="str">
        <x:f>MIN(15,A532+'Calculator'!$B$6)&amp;"/"&amp;MIN(15,B532+'Calculator'!$B$6)&amp;"/"&amp;MIN(15,C532+'Calculator'!$B$6)</x:f>
        <x:v>13/11/8</x:v>
      </x:c>
    </x:row>
    <x:row r="533">
      <x:c r="A533" t="n">
        <x:v>11</x:v>
      </x:c>
      <x:c r="B533" t="n">
        <x:v>9</x:v>
      </x:c>
      <x:c r="C533" t="n">
        <x:v>7</x:v>
      </x:c>
      <x:c r="D533" t="n">
        <x:f>MAX(10,ROUNDDOWN((('Calculator'!$B$10+A533)*SQRT('Calculator'!$B$11+B533)*SQRT('Calculator'!$B$12+C533)*0.59740001^2)/10,0))</x:f>
        <x:v>2280</x:v>
      </x:c>
      <x:c r="E533" t="n">
        <x:f>MAX(10,ROUNDDOWN((('Calculator'!$B$10+A533)*SQRT('Calculator'!$B$11+B533)*SQRT('Calculator'!$B$12+C533)*0.667934^2)/10,0))</x:f>
        <x:v>2850</x:v>
      </x:c>
      <x:c r="F533" t="n">
        <x:f>--AND(A533&gt;='Calculator'!$B$5,B533&gt;='Calculator'!$B$5,C533&gt;='Calculator'!$B$5)</x:f>
        <x:v>1</x:v>
      </x:c>
      <x:c r="G533" t="n">
        <x:f>--AND(A533+'Calculator'!$B$6&gt;=15,B533+'Calculator'!$B$6&gt;=15,C533+'Calculator'!$B$6&gt;=15)</x:f>
        <x:v>0</x:v>
      </x:c>
      <x:c r="H533" t="n">
        <x:f>--AND(F533=1,D533='Calculator'!$B$4)</x:f>
        <x:v>0</x:v>
      </x:c>
      <x:c r="I533" t="n">
        <x:f>--AND(H533=1,G533=1)</x:f>
        <x:v>0</x:v>
      </x:c>
      <x:c r="J533" t="n">
        <x:f>--AND(F533=1,E533='Calculator'!$B$4)</x:f>
        <x:v>0</x:v>
      </x:c>
      <x:c r="K533" t="n">
        <x:f>--AND(J533=1,G533=1)</x:f>
        <x:v>0</x:v>
      </x:c>
      <x:c r="L533" t="str">
        <x:f>A533&amp;"/"&amp;B533&amp;"/"&amp;C533</x:f>
        <x:v>11/9/7</x:v>
      </x:c>
      <x:c r="M533" t="str">
        <x:f>MIN(15,A533+'Calculator'!$B$6)&amp;"/"&amp;MIN(15,B533+'Calculator'!$B$6)&amp;"/"&amp;MIN(15,C533+'Calculator'!$B$6)</x:f>
        <x:v>13/11/9</x:v>
      </x:c>
    </x:row>
    <x:row r="534">
      <x:c r="A534" t="n">
        <x:v>11</x:v>
      </x:c>
      <x:c r="B534" t="n">
        <x:v>9</x:v>
      </x:c>
      <x:c r="C534" t="n">
        <x:v>8</x:v>
      </x:c>
      <x:c r="D534" t="n">
        <x:f>MAX(10,ROUNDDOWN((('Calculator'!$B$10+A534)*SQRT('Calculator'!$B$11+B534)*SQRT('Calculator'!$B$12+C534)*0.59740001^2)/10,0))</x:f>
        <x:v>2285</x:v>
      </x:c>
      <x:c r="E534" t="n">
        <x:f>MAX(10,ROUNDDOWN((('Calculator'!$B$10+A534)*SQRT('Calculator'!$B$11+B534)*SQRT('Calculator'!$B$12+C534)*0.667934^2)/10,0))</x:f>
        <x:v>2857</x:v>
      </x:c>
      <x:c r="F534" t="n">
        <x:f>--AND(A534&gt;='Calculator'!$B$5,B534&gt;='Calculator'!$B$5,C534&gt;='Calculator'!$B$5)</x:f>
        <x:v>1</x:v>
      </x:c>
      <x:c r="G534" t="n">
        <x:f>--AND(A534+'Calculator'!$B$6&gt;=15,B534+'Calculator'!$B$6&gt;=15,C534+'Calculator'!$B$6&gt;=15)</x:f>
        <x:v>0</x:v>
      </x:c>
      <x:c r="H534" t="n">
        <x:f>--AND(F534=1,D534='Calculator'!$B$4)</x:f>
        <x:v>0</x:v>
      </x:c>
      <x:c r="I534" t="n">
        <x:f>--AND(H534=1,G534=1)</x:f>
        <x:v>0</x:v>
      </x:c>
      <x:c r="J534" t="n">
        <x:f>--AND(F534=1,E534='Calculator'!$B$4)</x:f>
        <x:v>0</x:v>
      </x:c>
      <x:c r="K534" t="n">
        <x:f>--AND(J534=1,G534=1)</x:f>
        <x:v>0</x:v>
      </x:c>
      <x:c r="L534" t="str">
        <x:f>A534&amp;"/"&amp;B534&amp;"/"&amp;C534</x:f>
        <x:v>11/9/8</x:v>
      </x:c>
      <x:c r="M534" t="str">
        <x:f>MIN(15,A534+'Calculator'!$B$6)&amp;"/"&amp;MIN(15,B534+'Calculator'!$B$6)&amp;"/"&amp;MIN(15,C534+'Calculator'!$B$6)</x:f>
        <x:v>13/11/10</x:v>
      </x:c>
    </x:row>
    <x:row r="535">
      <x:c r="A535" t="n">
        <x:v>11</x:v>
      </x:c>
      <x:c r="B535" t="n">
        <x:v>9</x:v>
      </x:c>
      <x:c r="C535" t="n">
        <x:v>9</x:v>
      </x:c>
      <x:c r="D535" t="n">
        <x:f>MAX(10,ROUNDDOWN((('Calculator'!$B$10+A535)*SQRT('Calculator'!$B$11+B535)*SQRT('Calculator'!$B$12+C535)*0.59740001^2)/10,0))</x:f>
        <x:v>2290</x:v>
      </x:c>
      <x:c r="E535" t="n">
        <x:f>MAX(10,ROUNDDOWN((('Calculator'!$B$10+A535)*SQRT('Calculator'!$B$11+B535)*SQRT('Calculator'!$B$12+C535)*0.667934^2)/10,0))</x:f>
        <x:v>2863</x:v>
      </x:c>
      <x:c r="F535" t="n">
        <x:f>--AND(A535&gt;='Calculator'!$B$5,B535&gt;='Calculator'!$B$5,C535&gt;='Calculator'!$B$5)</x:f>
        <x:v>1</x:v>
      </x:c>
      <x:c r="G535" t="n">
        <x:f>--AND(A535+'Calculator'!$B$6&gt;=15,B535+'Calculator'!$B$6&gt;=15,C535+'Calculator'!$B$6&gt;=15)</x:f>
        <x:v>0</x:v>
      </x:c>
      <x:c r="H535" t="n">
        <x:f>--AND(F535=1,D535='Calculator'!$B$4)</x:f>
        <x:v>0</x:v>
      </x:c>
      <x:c r="I535" t="n">
        <x:f>--AND(H535=1,G535=1)</x:f>
        <x:v>0</x:v>
      </x:c>
      <x:c r="J535" t="n">
        <x:f>--AND(F535=1,E535='Calculator'!$B$4)</x:f>
        <x:v>0</x:v>
      </x:c>
      <x:c r="K535" t="n">
        <x:f>--AND(J535=1,G535=1)</x:f>
        <x:v>0</x:v>
      </x:c>
      <x:c r="L535" t="str">
        <x:f>A535&amp;"/"&amp;B535&amp;"/"&amp;C535</x:f>
        <x:v>11/9/9</x:v>
      </x:c>
      <x:c r="M535" t="str">
        <x:f>MIN(15,A535+'Calculator'!$B$6)&amp;"/"&amp;MIN(15,B535+'Calculator'!$B$6)&amp;"/"&amp;MIN(15,C535+'Calculator'!$B$6)</x:f>
        <x:v>13/11/11</x:v>
      </x:c>
    </x:row>
    <x:row r="536">
      <x:c r="A536" t="n">
        <x:v>11</x:v>
      </x:c>
      <x:c r="B536" t="n">
        <x:v>9</x:v>
      </x:c>
      <x:c r="C536" t="n">
        <x:v>10</x:v>
      </x:c>
      <x:c r="D536" t="n">
        <x:f>MAX(10,ROUNDDOWN((('Calculator'!$B$10+A536)*SQRT('Calculator'!$B$11+B536)*SQRT('Calculator'!$B$12+C536)*0.59740001^2)/10,0))</x:f>
        <x:v>2295</x:v>
      </x:c>
      <x:c r="E536" t="n">
        <x:f>MAX(10,ROUNDDOWN((('Calculator'!$B$10+A536)*SQRT('Calculator'!$B$11+B536)*SQRT('Calculator'!$B$12+C536)*0.667934^2)/10,0))</x:f>
        <x:v>2869</x:v>
      </x:c>
      <x:c r="F536" t="n">
        <x:f>--AND(A536&gt;='Calculator'!$B$5,B536&gt;='Calculator'!$B$5,C536&gt;='Calculator'!$B$5)</x:f>
        <x:v>1</x:v>
      </x:c>
      <x:c r="G536" t="n">
        <x:f>--AND(A536+'Calculator'!$B$6&gt;=15,B536+'Calculator'!$B$6&gt;=15,C536+'Calculator'!$B$6&gt;=15)</x:f>
        <x:v>0</x:v>
      </x:c>
      <x:c r="H536" t="n">
        <x:f>--AND(F536=1,D536='Calculator'!$B$4)</x:f>
        <x:v>0</x:v>
      </x:c>
      <x:c r="I536" t="n">
        <x:f>--AND(H536=1,G536=1)</x:f>
        <x:v>0</x:v>
      </x:c>
      <x:c r="J536" t="n">
        <x:f>--AND(F536=1,E536='Calculator'!$B$4)</x:f>
        <x:v>0</x:v>
      </x:c>
      <x:c r="K536" t="n">
        <x:f>--AND(J536=1,G536=1)</x:f>
        <x:v>0</x:v>
      </x:c>
      <x:c r="L536" t="str">
        <x:f>A536&amp;"/"&amp;B536&amp;"/"&amp;C536</x:f>
        <x:v>11/9/10</x:v>
      </x:c>
      <x:c r="M536" t="str">
        <x:f>MIN(15,A536+'Calculator'!$B$6)&amp;"/"&amp;MIN(15,B536+'Calculator'!$B$6)&amp;"/"&amp;MIN(15,C536+'Calculator'!$B$6)</x:f>
        <x:v>13/11/12</x:v>
      </x:c>
    </x:row>
    <x:row r="537">
      <x:c r="A537" t="n">
        <x:v>11</x:v>
      </x:c>
      <x:c r="B537" t="n">
        <x:v>9</x:v>
      </x:c>
      <x:c r="C537" t="n">
        <x:v>11</x:v>
      </x:c>
      <x:c r="D537" t="n">
        <x:f>MAX(10,ROUNDDOWN((('Calculator'!$B$10+A537)*SQRT('Calculator'!$B$11+B537)*SQRT('Calculator'!$B$12+C537)*0.59740001^2)/10,0))</x:f>
        <x:v>2300</x:v>
      </x:c>
      <x:c r="E537" t="n">
        <x:f>MAX(10,ROUNDDOWN((('Calculator'!$B$10+A537)*SQRT('Calculator'!$B$11+B537)*SQRT('Calculator'!$B$12+C537)*0.667934^2)/10,0))</x:f>
        <x:v>2876</x:v>
      </x:c>
      <x:c r="F537" t="n">
        <x:f>--AND(A537&gt;='Calculator'!$B$5,B537&gt;='Calculator'!$B$5,C537&gt;='Calculator'!$B$5)</x:f>
        <x:v>1</x:v>
      </x:c>
      <x:c r="G537" t="n">
        <x:f>--AND(A537+'Calculator'!$B$6&gt;=15,B537+'Calculator'!$B$6&gt;=15,C537+'Calculator'!$B$6&gt;=15)</x:f>
        <x:v>0</x:v>
      </x:c>
      <x:c r="H537" t="n">
        <x:f>--AND(F537=1,D537='Calculator'!$B$4)</x:f>
        <x:v>0</x:v>
      </x:c>
      <x:c r="I537" t="n">
        <x:f>--AND(H537=1,G537=1)</x:f>
        <x:v>0</x:v>
      </x:c>
      <x:c r="J537" t="n">
        <x:f>--AND(F537=1,E537='Calculator'!$B$4)</x:f>
        <x:v>0</x:v>
      </x:c>
      <x:c r="K537" t="n">
        <x:f>--AND(J537=1,G537=1)</x:f>
        <x:v>0</x:v>
      </x:c>
      <x:c r="L537" t="str">
        <x:f>A537&amp;"/"&amp;B537&amp;"/"&amp;C537</x:f>
        <x:v>11/9/11</x:v>
      </x:c>
      <x:c r="M537" t="str">
        <x:f>MIN(15,A537+'Calculator'!$B$6)&amp;"/"&amp;MIN(15,B537+'Calculator'!$B$6)&amp;"/"&amp;MIN(15,C537+'Calculator'!$B$6)</x:f>
        <x:v>13/11/13</x:v>
      </x:c>
    </x:row>
    <x:row r="538">
      <x:c r="A538" t="n">
        <x:v>11</x:v>
      </x:c>
      <x:c r="B538" t="n">
        <x:v>9</x:v>
      </x:c>
      <x:c r="C538" t="n">
        <x:v>12</x:v>
      </x:c>
      <x:c r="D538" t="n">
        <x:f>MAX(10,ROUNDDOWN((('Calculator'!$B$10+A538)*SQRT('Calculator'!$B$11+B538)*SQRT('Calculator'!$B$12+C538)*0.59740001^2)/10,0))</x:f>
        <x:v>2306</x:v>
      </x:c>
      <x:c r="E538" t="n">
        <x:f>MAX(10,ROUNDDOWN((('Calculator'!$B$10+A538)*SQRT('Calculator'!$B$11+B538)*SQRT('Calculator'!$B$12+C538)*0.667934^2)/10,0))</x:f>
        <x:v>2882</x:v>
      </x:c>
      <x:c r="F538" t="n">
        <x:f>--AND(A538&gt;='Calculator'!$B$5,B538&gt;='Calculator'!$B$5,C538&gt;='Calculator'!$B$5)</x:f>
        <x:v>1</x:v>
      </x:c>
      <x:c r="G538" t="n">
        <x:f>--AND(A538+'Calculator'!$B$6&gt;=15,B538+'Calculator'!$B$6&gt;=15,C538+'Calculator'!$B$6&gt;=15)</x:f>
        <x:v>0</x:v>
      </x:c>
      <x:c r="H538" t="n">
        <x:f>--AND(F538=1,D538='Calculator'!$B$4)</x:f>
        <x:v>0</x:v>
      </x:c>
      <x:c r="I538" t="n">
        <x:f>--AND(H538=1,G538=1)</x:f>
        <x:v>0</x:v>
      </x:c>
      <x:c r="J538" t="n">
        <x:f>--AND(F538=1,E538='Calculator'!$B$4)</x:f>
        <x:v>0</x:v>
      </x:c>
      <x:c r="K538" t="n">
        <x:f>--AND(J538=1,G538=1)</x:f>
        <x:v>0</x:v>
      </x:c>
      <x:c r="L538" t="str">
        <x:f>A538&amp;"/"&amp;B538&amp;"/"&amp;C538</x:f>
        <x:v>11/9/12</x:v>
      </x:c>
      <x:c r="M538" t="str">
        <x:f>MIN(15,A538+'Calculator'!$B$6)&amp;"/"&amp;MIN(15,B538+'Calculator'!$B$6)&amp;"/"&amp;MIN(15,C538+'Calculator'!$B$6)</x:f>
        <x:v>13/11/14</x:v>
      </x:c>
    </x:row>
    <x:row r="539">
      <x:c r="A539" t="n">
        <x:v>11</x:v>
      </x:c>
      <x:c r="B539" t="n">
        <x:v>9</x:v>
      </x:c>
      <x:c r="C539" t="n">
        <x:v>13</x:v>
      </x:c>
      <x:c r="D539" t="n">
        <x:f>MAX(10,ROUNDDOWN((('Calculator'!$B$10+A539)*SQRT('Calculator'!$B$11+B539)*SQRT('Calculator'!$B$12+C539)*0.59740001^2)/10,0))</x:f>
        <x:v>2311</x:v>
      </x:c>
      <x:c r="E539" t="n">
        <x:f>MAX(10,ROUNDDOWN((('Calculator'!$B$10+A539)*SQRT('Calculator'!$B$11+B539)*SQRT('Calculator'!$B$12+C539)*0.667934^2)/10,0))</x:f>
        <x:v>2889</x:v>
      </x:c>
      <x:c r="F539" t="n">
        <x:f>--AND(A539&gt;='Calculator'!$B$5,B539&gt;='Calculator'!$B$5,C539&gt;='Calculator'!$B$5)</x:f>
        <x:v>1</x:v>
      </x:c>
      <x:c r="G539" t="n">
        <x:f>--AND(A539+'Calculator'!$B$6&gt;=15,B539+'Calculator'!$B$6&gt;=15,C539+'Calculator'!$B$6&gt;=15)</x:f>
        <x:v>0</x:v>
      </x:c>
      <x:c r="H539" t="n">
        <x:f>--AND(F539=1,D539='Calculator'!$B$4)</x:f>
        <x:v>0</x:v>
      </x:c>
      <x:c r="I539" t="n">
        <x:f>--AND(H539=1,G539=1)</x:f>
        <x:v>0</x:v>
      </x:c>
      <x:c r="J539" t="n">
        <x:f>--AND(F539=1,E539='Calculator'!$B$4)</x:f>
        <x:v>0</x:v>
      </x:c>
      <x:c r="K539" t="n">
        <x:f>--AND(J539=1,G539=1)</x:f>
        <x:v>0</x:v>
      </x:c>
      <x:c r="L539" t="str">
        <x:f>A539&amp;"/"&amp;B539&amp;"/"&amp;C539</x:f>
        <x:v>11/9/13</x:v>
      </x:c>
      <x:c r="M539" t="str">
        <x:f>MIN(15,A539+'Calculator'!$B$6)&amp;"/"&amp;MIN(15,B539+'Calculator'!$B$6)&amp;"/"&amp;MIN(15,C539+'Calculator'!$B$6)</x:f>
        <x:v>13/11/15</x:v>
      </x:c>
    </x:row>
    <x:row r="540">
      <x:c r="A540" t="n">
        <x:v>11</x:v>
      </x:c>
      <x:c r="B540" t="n">
        <x:v>9</x:v>
      </x:c>
      <x:c r="C540" t="n">
        <x:v>14</x:v>
      </x:c>
      <x:c r="D540" t="n">
        <x:f>MAX(10,ROUNDDOWN((('Calculator'!$B$10+A540)*SQRT('Calculator'!$B$11+B540)*SQRT('Calculator'!$B$12+C540)*0.59740001^2)/10,0))</x:f>
        <x:v>2316</x:v>
      </x:c>
      <x:c r="E540" t="n">
        <x:f>MAX(10,ROUNDDOWN((('Calculator'!$B$10+A540)*SQRT('Calculator'!$B$11+B540)*SQRT('Calculator'!$B$12+C540)*0.667934^2)/10,0))</x:f>
        <x:v>2895</x:v>
      </x:c>
      <x:c r="F540" t="n">
        <x:f>--AND(A540&gt;='Calculator'!$B$5,B540&gt;='Calculator'!$B$5,C540&gt;='Calculator'!$B$5)</x:f>
        <x:v>1</x:v>
      </x:c>
      <x:c r="G540" t="n">
        <x:f>--AND(A540+'Calculator'!$B$6&gt;=15,B540+'Calculator'!$B$6&gt;=15,C540+'Calculator'!$B$6&gt;=15)</x:f>
        <x:v>0</x:v>
      </x:c>
      <x:c r="H540" t="n">
        <x:f>--AND(F540=1,D540='Calculator'!$B$4)</x:f>
        <x:v>0</x:v>
      </x:c>
      <x:c r="I540" t="n">
        <x:f>--AND(H540=1,G540=1)</x:f>
        <x:v>0</x:v>
      </x:c>
      <x:c r="J540" t="n">
        <x:f>--AND(F540=1,E540='Calculator'!$B$4)</x:f>
        <x:v>0</x:v>
      </x:c>
      <x:c r="K540" t="n">
        <x:f>--AND(J540=1,G540=1)</x:f>
        <x:v>0</x:v>
      </x:c>
      <x:c r="L540" t="str">
        <x:f>A540&amp;"/"&amp;B540&amp;"/"&amp;C540</x:f>
        <x:v>11/9/14</x:v>
      </x:c>
      <x:c r="M540" t="str">
        <x:f>MIN(15,A540+'Calculator'!$B$6)&amp;"/"&amp;MIN(15,B540+'Calculator'!$B$6)&amp;"/"&amp;MIN(15,C540+'Calculator'!$B$6)</x:f>
        <x:v>13/11/15</x:v>
      </x:c>
    </x:row>
    <x:row r="541">
      <x:c r="A541" t="n">
        <x:v>11</x:v>
      </x:c>
      <x:c r="B541" t="n">
        <x:v>9</x:v>
      </x:c>
      <x:c r="C541" t="n">
        <x:v>15</x:v>
      </x:c>
      <x:c r="D541" t="n">
        <x:f>MAX(10,ROUNDDOWN((('Calculator'!$B$10+A541)*SQRT('Calculator'!$B$11+B541)*SQRT('Calculator'!$B$12+C541)*0.59740001^2)/10,0))</x:f>
        <x:v>2321</x:v>
      </x:c>
      <x:c r="E541" t="n">
        <x:f>MAX(10,ROUNDDOWN((('Calculator'!$B$10+A541)*SQRT('Calculator'!$B$11+B541)*SQRT('Calculator'!$B$12+C541)*0.667934^2)/10,0))</x:f>
        <x:v>2901</x:v>
      </x:c>
      <x:c r="F541" t="n">
        <x:f>--AND(A541&gt;='Calculator'!$B$5,B541&gt;='Calculator'!$B$5,C541&gt;='Calculator'!$B$5)</x:f>
        <x:v>1</x:v>
      </x:c>
      <x:c r="G541" t="n">
        <x:f>--AND(A541+'Calculator'!$B$6&gt;=15,B541+'Calculator'!$B$6&gt;=15,C541+'Calculator'!$B$6&gt;=15)</x:f>
        <x:v>0</x:v>
      </x:c>
      <x:c r="H541" t="n">
        <x:f>--AND(F541=1,D541='Calculator'!$B$4)</x:f>
        <x:v>0</x:v>
      </x:c>
      <x:c r="I541" t="n">
        <x:f>--AND(H541=1,G541=1)</x:f>
        <x:v>0</x:v>
      </x:c>
      <x:c r="J541" t="n">
        <x:f>--AND(F541=1,E541='Calculator'!$B$4)</x:f>
        <x:v>0</x:v>
      </x:c>
      <x:c r="K541" t="n">
        <x:f>--AND(J541=1,G541=1)</x:f>
        <x:v>0</x:v>
      </x:c>
      <x:c r="L541" t="str">
        <x:f>A541&amp;"/"&amp;B541&amp;"/"&amp;C541</x:f>
        <x:v>11/9/15</x:v>
      </x:c>
      <x:c r="M541" t="str">
        <x:f>MIN(15,A541+'Calculator'!$B$6)&amp;"/"&amp;MIN(15,B541+'Calculator'!$B$6)&amp;"/"&amp;MIN(15,C541+'Calculator'!$B$6)</x:f>
        <x:v>13/11/15</x:v>
      </x:c>
    </x:row>
    <x:row r="542">
      <x:c r="A542" t="n">
        <x:v>11</x:v>
      </x:c>
      <x:c r="B542" t="n">
        <x:v>10</x:v>
      </x:c>
      <x:c r="C542" t="n">
        <x:v>6</x:v>
      </x:c>
      <x:c r="D542" t="n">
        <x:f>MAX(10,ROUNDDOWN((('Calculator'!$B$10+A542)*SQRT('Calculator'!$B$11+B542)*SQRT('Calculator'!$B$12+C542)*0.59740001^2)/10,0))</x:f>
        <x:v>2281</x:v>
      </x:c>
      <x:c r="E542" t="n">
        <x:f>MAX(10,ROUNDDOWN((('Calculator'!$B$10+A542)*SQRT('Calculator'!$B$11+B542)*SQRT('Calculator'!$B$12+C542)*0.667934^2)/10,0))</x:f>
        <x:v>2851</x:v>
      </x:c>
      <x:c r="F542" t="n">
        <x:f>--AND(A542&gt;='Calculator'!$B$5,B542&gt;='Calculator'!$B$5,C542&gt;='Calculator'!$B$5)</x:f>
        <x:v>1</x:v>
      </x:c>
      <x:c r="G542" t="n">
        <x:f>--AND(A542+'Calculator'!$B$6&gt;=15,B542+'Calculator'!$B$6&gt;=15,C542+'Calculator'!$B$6&gt;=15)</x:f>
        <x:v>0</x:v>
      </x:c>
      <x:c r="H542" t="n">
        <x:f>--AND(F542=1,D542='Calculator'!$B$4)</x:f>
        <x:v>0</x:v>
      </x:c>
      <x:c r="I542" t="n">
        <x:f>--AND(H542=1,G542=1)</x:f>
        <x:v>0</x:v>
      </x:c>
      <x:c r="J542" t="n">
        <x:f>--AND(F542=1,E542='Calculator'!$B$4)</x:f>
        <x:v>0</x:v>
      </x:c>
      <x:c r="K542" t="n">
        <x:f>--AND(J542=1,G542=1)</x:f>
        <x:v>0</x:v>
      </x:c>
      <x:c r="L542" t="str">
        <x:f>A542&amp;"/"&amp;B542&amp;"/"&amp;C542</x:f>
        <x:v>11/10/6</x:v>
      </x:c>
      <x:c r="M542" t="str">
        <x:f>MIN(15,A542+'Calculator'!$B$6)&amp;"/"&amp;MIN(15,B542+'Calculator'!$B$6)&amp;"/"&amp;MIN(15,C542+'Calculator'!$B$6)</x:f>
        <x:v>13/12/8</x:v>
      </x:c>
    </x:row>
    <x:row r="543">
      <x:c r="A543" t="n">
        <x:v>11</x:v>
      </x:c>
      <x:c r="B543" t="n">
        <x:v>10</x:v>
      </x:c>
      <x:c r="C543" t="n">
        <x:v>7</x:v>
      </x:c>
      <x:c r="D543" t="n">
        <x:f>MAX(10,ROUNDDOWN((('Calculator'!$B$10+A543)*SQRT('Calculator'!$B$11+B543)*SQRT('Calculator'!$B$12+C543)*0.59740001^2)/10,0))</x:f>
        <x:v>2286</x:v>
      </x:c>
      <x:c r="E543" t="n">
        <x:f>MAX(10,ROUNDDOWN((('Calculator'!$B$10+A543)*SQRT('Calculator'!$B$11+B543)*SQRT('Calculator'!$B$12+C543)*0.667934^2)/10,0))</x:f>
        <x:v>2858</x:v>
      </x:c>
      <x:c r="F543" t="n">
        <x:f>--AND(A543&gt;='Calculator'!$B$5,B543&gt;='Calculator'!$B$5,C543&gt;='Calculator'!$B$5)</x:f>
        <x:v>1</x:v>
      </x:c>
      <x:c r="G543" t="n">
        <x:f>--AND(A543+'Calculator'!$B$6&gt;=15,B543+'Calculator'!$B$6&gt;=15,C543+'Calculator'!$B$6&gt;=15)</x:f>
        <x:v>0</x:v>
      </x:c>
      <x:c r="H543" t="n">
        <x:f>--AND(F543=1,D543='Calculator'!$B$4)</x:f>
        <x:v>0</x:v>
      </x:c>
      <x:c r="I543" t="n">
        <x:f>--AND(H543=1,G543=1)</x:f>
        <x:v>0</x:v>
      </x:c>
      <x:c r="J543" t="n">
        <x:f>--AND(F543=1,E543='Calculator'!$B$4)</x:f>
        <x:v>0</x:v>
      </x:c>
      <x:c r="K543" t="n">
        <x:f>--AND(J543=1,G543=1)</x:f>
        <x:v>0</x:v>
      </x:c>
      <x:c r="L543" t="str">
        <x:f>A543&amp;"/"&amp;B543&amp;"/"&amp;C543</x:f>
        <x:v>11/10/7</x:v>
      </x:c>
      <x:c r="M543" t="str">
        <x:f>MIN(15,A543+'Calculator'!$B$6)&amp;"/"&amp;MIN(15,B543+'Calculator'!$B$6)&amp;"/"&amp;MIN(15,C543+'Calculator'!$B$6)</x:f>
        <x:v>13/12/9</x:v>
      </x:c>
    </x:row>
    <x:row r="544">
      <x:c r="A544" t="n">
        <x:v>11</x:v>
      </x:c>
      <x:c r="B544" t="n">
        <x:v>10</x:v>
      </x:c>
      <x:c r="C544" t="n">
        <x:v>8</x:v>
      </x:c>
      <x:c r="D544" t="n">
        <x:f>MAX(10,ROUNDDOWN((('Calculator'!$B$10+A544)*SQRT('Calculator'!$B$11+B544)*SQRT('Calculator'!$B$12+C544)*0.59740001^2)/10,0))</x:f>
        <x:v>2291</x:v>
      </x:c>
      <x:c r="E544" t="n">
        <x:f>MAX(10,ROUNDDOWN((('Calculator'!$B$10+A544)*SQRT('Calculator'!$B$11+B544)*SQRT('Calculator'!$B$12+C544)*0.667934^2)/10,0))</x:f>
        <x:v>2864</x:v>
      </x:c>
      <x:c r="F544" t="n">
        <x:f>--AND(A544&gt;='Calculator'!$B$5,B544&gt;='Calculator'!$B$5,C544&gt;='Calculator'!$B$5)</x:f>
        <x:v>1</x:v>
      </x:c>
      <x:c r="G544" t="n">
        <x:f>--AND(A544+'Calculator'!$B$6&gt;=15,B544+'Calculator'!$B$6&gt;=15,C544+'Calculator'!$B$6&gt;=15)</x:f>
        <x:v>0</x:v>
      </x:c>
      <x:c r="H544" t="n">
        <x:f>--AND(F544=1,D544='Calculator'!$B$4)</x:f>
        <x:v>0</x:v>
      </x:c>
      <x:c r="I544" t="n">
        <x:f>--AND(H544=1,G544=1)</x:f>
        <x:v>0</x:v>
      </x:c>
      <x:c r="J544" t="n">
        <x:f>--AND(F544=1,E544='Calculator'!$B$4)</x:f>
        <x:v>0</x:v>
      </x:c>
      <x:c r="K544" t="n">
        <x:f>--AND(J544=1,G544=1)</x:f>
        <x:v>0</x:v>
      </x:c>
      <x:c r="L544" t="str">
        <x:f>A544&amp;"/"&amp;B544&amp;"/"&amp;C544</x:f>
        <x:v>11/10/8</x:v>
      </x:c>
      <x:c r="M544" t="str">
        <x:f>MIN(15,A544+'Calculator'!$B$6)&amp;"/"&amp;MIN(15,B544+'Calculator'!$B$6)&amp;"/"&amp;MIN(15,C544+'Calculator'!$B$6)</x:f>
        <x:v>13/12/10</x:v>
      </x:c>
    </x:row>
    <x:row r="545">
      <x:c r="A545" t="n">
        <x:v>11</x:v>
      </x:c>
      <x:c r="B545" t="n">
        <x:v>10</x:v>
      </x:c>
      <x:c r="C545" t="n">
        <x:v>9</x:v>
      </x:c>
      <x:c r="D545" t="n">
        <x:f>MAX(10,ROUNDDOWN((('Calculator'!$B$10+A545)*SQRT('Calculator'!$B$11+B545)*SQRT('Calculator'!$B$12+C545)*0.59740001^2)/10,0))</x:f>
        <x:v>2296</x:v>
      </x:c>
      <x:c r="E545" t="n">
        <x:f>MAX(10,ROUNDDOWN((('Calculator'!$B$10+A545)*SQRT('Calculator'!$B$11+B545)*SQRT('Calculator'!$B$12+C545)*0.667934^2)/10,0))</x:f>
        <x:v>2870</x:v>
      </x:c>
      <x:c r="F545" t="n">
        <x:f>--AND(A545&gt;='Calculator'!$B$5,B545&gt;='Calculator'!$B$5,C545&gt;='Calculator'!$B$5)</x:f>
        <x:v>1</x:v>
      </x:c>
      <x:c r="G545" t="n">
        <x:f>--AND(A545+'Calculator'!$B$6&gt;=15,B545+'Calculator'!$B$6&gt;=15,C545+'Calculator'!$B$6&gt;=15)</x:f>
        <x:v>0</x:v>
      </x:c>
      <x:c r="H545" t="n">
        <x:f>--AND(F545=1,D545='Calculator'!$B$4)</x:f>
        <x:v>0</x:v>
      </x:c>
      <x:c r="I545" t="n">
        <x:f>--AND(H545=1,G545=1)</x:f>
        <x:v>0</x:v>
      </x:c>
      <x:c r="J545" t="n">
        <x:f>--AND(F545=1,E545='Calculator'!$B$4)</x:f>
        <x:v>0</x:v>
      </x:c>
      <x:c r="K545" t="n">
        <x:f>--AND(J545=1,G545=1)</x:f>
        <x:v>0</x:v>
      </x:c>
      <x:c r="L545" t="str">
        <x:f>A545&amp;"/"&amp;B545&amp;"/"&amp;C545</x:f>
        <x:v>11/10/9</x:v>
      </x:c>
      <x:c r="M545" t="str">
        <x:f>MIN(15,A545+'Calculator'!$B$6)&amp;"/"&amp;MIN(15,B545+'Calculator'!$B$6)&amp;"/"&amp;MIN(15,C545+'Calculator'!$B$6)</x:f>
        <x:v>13/12/11</x:v>
      </x:c>
    </x:row>
    <x:row r="546">
      <x:c r="A546" t="n">
        <x:v>11</x:v>
      </x:c>
      <x:c r="B546" t="n">
        <x:v>10</x:v>
      </x:c>
      <x:c r="C546" t="n">
        <x:v>10</x:v>
      </x:c>
      <x:c r="D546" t="n">
        <x:f>MAX(10,ROUNDDOWN((('Calculator'!$B$10+A546)*SQRT('Calculator'!$B$11+B546)*SQRT('Calculator'!$B$12+C546)*0.59740001^2)/10,0))</x:f>
        <x:v>2301</x:v>
      </x:c>
      <x:c r="E546" t="n">
        <x:f>MAX(10,ROUNDDOWN((('Calculator'!$B$10+A546)*SQRT('Calculator'!$B$11+B546)*SQRT('Calculator'!$B$12+C546)*0.667934^2)/10,0))</x:f>
        <x:v>2877</x:v>
      </x:c>
      <x:c r="F546" t="n">
        <x:f>--AND(A546&gt;='Calculator'!$B$5,B546&gt;='Calculator'!$B$5,C546&gt;='Calculator'!$B$5)</x:f>
        <x:v>1</x:v>
      </x:c>
      <x:c r="G546" t="n">
        <x:f>--AND(A546+'Calculator'!$B$6&gt;=15,B546+'Calculator'!$B$6&gt;=15,C546+'Calculator'!$B$6&gt;=15)</x:f>
        <x:v>0</x:v>
      </x:c>
      <x:c r="H546" t="n">
        <x:f>--AND(F546=1,D546='Calculator'!$B$4)</x:f>
        <x:v>0</x:v>
      </x:c>
      <x:c r="I546" t="n">
        <x:f>--AND(H546=1,G546=1)</x:f>
        <x:v>0</x:v>
      </x:c>
      <x:c r="J546" t="n">
        <x:f>--AND(F546=1,E546='Calculator'!$B$4)</x:f>
        <x:v>0</x:v>
      </x:c>
      <x:c r="K546" t="n">
        <x:f>--AND(J546=1,G546=1)</x:f>
        <x:v>0</x:v>
      </x:c>
      <x:c r="L546" t="str">
        <x:f>A546&amp;"/"&amp;B546&amp;"/"&amp;C546</x:f>
        <x:v>11/10/10</x:v>
      </x:c>
      <x:c r="M546" t="str">
        <x:f>MIN(15,A546+'Calculator'!$B$6)&amp;"/"&amp;MIN(15,B546+'Calculator'!$B$6)&amp;"/"&amp;MIN(15,C546+'Calculator'!$B$6)</x:f>
        <x:v>13/12/12</x:v>
      </x:c>
    </x:row>
    <x:row r="547">
      <x:c r="A547" t="n">
        <x:v>11</x:v>
      </x:c>
      <x:c r="B547" t="n">
        <x:v>10</x:v>
      </x:c>
      <x:c r="C547" t="n">
        <x:v>11</x:v>
      </x:c>
      <x:c r="D547" t="n">
        <x:f>MAX(10,ROUNDDOWN((('Calculator'!$B$10+A547)*SQRT('Calculator'!$B$11+B547)*SQRT('Calculator'!$B$12+C547)*0.59740001^2)/10,0))</x:f>
        <x:v>2306</x:v>
      </x:c>
      <x:c r="E547" t="n">
        <x:f>MAX(10,ROUNDDOWN((('Calculator'!$B$10+A547)*SQRT('Calculator'!$B$11+B547)*SQRT('Calculator'!$B$12+C547)*0.667934^2)/10,0))</x:f>
        <x:v>2883</x:v>
      </x:c>
      <x:c r="F547" t="n">
        <x:f>--AND(A547&gt;='Calculator'!$B$5,B547&gt;='Calculator'!$B$5,C547&gt;='Calculator'!$B$5)</x:f>
        <x:v>1</x:v>
      </x:c>
      <x:c r="G547" t="n">
        <x:f>--AND(A547+'Calculator'!$B$6&gt;=15,B547+'Calculator'!$B$6&gt;=15,C547+'Calculator'!$B$6&gt;=15)</x:f>
        <x:v>0</x:v>
      </x:c>
      <x:c r="H547" t="n">
        <x:f>--AND(F547=1,D547='Calculator'!$B$4)</x:f>
        <x:v>0</x:v>
      </x:c>
      <x:c r="I547" t="n">
        <x:f>--AND(H547=1,G547=1)</x:f>
        <x:v>0</x:v>
      </x:c>
      <x:c r="J547" t="n">
        <x:f>--AND(F547=1,E547='Calculator'!$B$4)</x:f>
        <x:v>0</x:v>
      </x:c>
      <x:c r="K547" t="n">
        <x:f>--AND(J547=1,G547=1)</x:f>
        <x:v>0</x:v>
      </x:c>
      <x:c r="L547" t="str">
        <x:f>A547&amp;"/"&amp;B547&amp;"/"&amp;C547</x:f>
        <x:v>11/10/11</x:v>
      </x:c>
      <x:c r="M547" t="str">
        <x:f>MIN(15,A547+'Calculator'!$B$6)&amp;"/"&amp;MIN(15,B547+'Calculator'!$B$6)&amp;"/"&amp;MIN(15,C547+'Calculator'!$B$6)</x:f>
        <x:v>13/12/13</x:v>
      </x:c>
    </x:row>
    <x:row r="548">
      <x:c r="A548" t="n">
        <x:v>11</x:v>
      </x:c>
      <x:c r="B548" t="n">
        <x:v>10</x:v>
      </x:c>
      <x:c r="C548" t="n">
        <x:v>12</x:v>
      </x:c>
      <x:c r="D548" t="n">
        <x:f>MAX(10,ROUNDDOWN((('Calculator'!$B$10+A548)*SQRT('Calculator'!$B$11+B548)*SQRT('Calculator'!$B$12+C548)*0.59740001^2)/10,0))</x:f>
        <x:v>2312</x:v>
      </x:c>
      <x:c r="E548" t="n">
        <x:f>MAX(10,ROUNDDOWN((('Calculator'!$B$10+A548)*SQRT('Calculator'!$B$11+B548)*SQRT('Calculator'!$B$12+C548)*0.667934^2)/10,0))</x:f>
        <x:v>2890</x:v>
      </x:c>
      <x:c r="F548" t="n">
        <x:f>--AND(A548&gt;='Calculator'!$B$5,B548&gt;='Calculator'!$B$5,C548&gt;='Calculator'!$B$5)</x:f>
        <x:v>1</x:v>
      </x:c>
      <x:c r="G548" t="n">
        <x:f>--AND(A548+'Calculator'!$B$6&gt;=15,B548+'Calculator'!$B$6&gt;=15,C548+'Calculator'!$B$6&gt;=15)</x:f>
        <x:v>0</x:v>
      </x:c>
      <x:c r="H548" t="n">
        <x:f>--AND(F548=1,D548='Calculator'!$B$4)</x:f>
        <x:v>0</x:v>
      </x:c>
      <x:c r="I548" t="n">
        <x:f>--AND(H548=1,G548=1)</x:f>
        <x:v>0</x:v>
      </x:c>
      <x:c r="J548" t="n">
        <x:f>--AND(F548=1,E548='Calculator'!$B$4)</x:f>
        <x:v>0</x:v>
      </x:c>
      <x:c r="K548" t="n">
        <x:f>--AND(J548=1,G548=1)</x:f>
        <x:v>0</x:v>
      </x:c>
      <x:c r="L548" t="str">
        <x:f>A548&amp;"/"&amp;B548&amp;"/"&amp;C548</x:f>
        <x:v>11/10/12</x:v>
      </x:c>
      <x:c r="M548" t="str">
        <x:f>MIN(15,A548+'Calculator'!$B$6)&amp;"/"&amp;MIN(15,B548+'Calculator'!$B$6)&amp;"/"&amp;MIN(15,C548+'Calculator'!$B$6)</x:f>
        <x:v>13/12/14</x:v>
      </x:c>
    </x:row>
    <x:row r="549">
      <x:c r="A549" t="n">
        <x:v>11</x:v>
      </x:c>
      <x:c r="B549" t="n">
        <x:v>10</x:v>
      </x:c>
      <x:c r="C549" t="n">
        <x:v>13</x:v>
      </x:c>
      <x:c r="D549" t="n">
        <x:f>MAX(10,ROUNDDOWN((('Calculator'!$B$10+A549)*SQRT('Calculator'!$B$11+B549)*SQRT('Calculator'!$B$12+C549)*0.59740001^2)/10,0))</x:f>
        <x:v>2317</x:v>
      </x:c>
      <x:c r="E549" t="n">
        <x:f>MAX(10,ROUNDDOWN((('Calculator'!$B$10+A549)*SQRT('Calculator'!$B$11+B549)*SQRT('Calculator'!$B$12+C549)*0.667934^2)/10,0))</x:f>
        <x:v>2896</x:v>
      </x:c>
      <x:c r="F549" t="n">
        <x:f>--AND(A549&gt;='Calculator'!$B$5,B549&gt;='Calculator'!$B$5,C549&gt;='Calculator'!$B$5)</x:f>
        <x:v>1</x:v>
      </x:c>
      <x:c r="G549" t="n">
        <x:f>--AND(A549+'Calculator'!$B$6&gt;=15,B549+'Calculator'!$B$6&gt;=15,C549+'Calculator'!$B$6&gt;=15)</x:f>
        <x:v>0</x:v>
      </x:c>
      <x:c r="H549" t="n">
        <x:f>--AND(F549=1,D549='Calculator'!$B$4)</x:f>
        <x:v>0</x:v>
      </x:c>
      <x:c r="I549" t="n">
        <x:f>--AND(H549=1,G549=1)</x:f>
        <x:v>0</x:v>
      </x:c>
      <x:c r="J549" t="n">
        <x:f>--AND(F549=1,E549='Calculator'!$B$4)</x:f>
        <x:v>0</x:v>
      </x:c>
      <x:c r="K549" t="n">
        <x:f>--AND(J549=1,G549=1)</x:f>
        <x:v>0</x:v>
      </x:c>
      <x:c r="L549" t="str">
        <x:f>A549&amp;"/"&amp;B549&amp;"/"&amp;C549</x:f>
        <x:v>11/10/13</x:v>
      </x:c>
      <x:c r="M549" t="str">
        <x:f>MIN(15,A549+'Calculator'!$B$6)&amp;"/"&amp;MIN(15,B549+'Calculator'!$B$6)&amp;"/"&amp;MIN(15,C549+'Calculator'!$B$6)</x:f>
        <x:v>13/12/15</x:v>
      </x:c>
    </x:row>
    <x:row r="550">
      <x:c r="A550" t="n">
        <x:v>11</x:v>
      </x:c>
      <x:c r="B550" t="n">
        <x:v>10</x:v>
      </x:c>
      <x:c r="C550" t="n">
        <x:v>14</x:v>
      </x:c>
      <x:c r="D550" t="n">
        <x:f>MAX(10,ROUNDDOWN((('Calculator'!$B$10+A550)*SQRT('Calculator'!$B$11+B550)*SQRT('Calculator'!$B$12+C550)*0.59740001^2)/10,0))</x:f>
        <x:v>2322</x:v>
      </x:c>
      <x:c r="E550" t="n">
        <x:f>MAX(10,ROUNDDOWN((('Calculator'!$B$10+A550)*SQRT('Calculator'!$B$11+B550)*SQRT('Calculator'!$B$12+C550)*0.667934^2)/10,0))</x:f>
        <x:v>2902</x:v>
      </x:c>
      <x:c r="F550" t="n">
        <x:f>--AND(A550&gt;='Calculator'!$B$5,B550&gt;='Calculator'!$B$5,C550&gt;='Calculator'!$B$5)</x:f>
        <x:v>1</x:v>
      </x:c>
      <x:c r="G550" t="n">
        <x:f>--AND(A550+'Calculator'!$B$6&gt;=15,B550+'Calculator'!$B$6&gt;=15,C550+'Calculator'!$B$6&gt;=15)</x:f>
        <x:v>0</x:v>
      </x:c>
      <x:c r="H550" t="n">
        <x:f>--AND(F550=1,D550='Calculator'!$B$4)</x:f>
        <x:v>0</x:v>
      </x:c>
      <x:c r="I550" t="n">
        <x:f>--AND(H550=1,G550=1)</x:f>
        <x:v>0</x:v>
      </x:c>
      <x:c r="J550" t="n">
        <x:f>--AND(F550=1,E550='Calculator'!$B$4)</x:f>
        <x:v>0</x:v>
      </x:c>
      <x:c r="K550" t="n">
        <x:f>--AND(J550=1,G550=1)</x:f>
        <x:v>0</x:v>
      </x:c>
      <x:c r="L550" t="str">
        <x:f>A550&amp;"/"&amp;B550&amp;"/"&amp;C550</x:f>
        <x:v>11/10/14</x:v>
      </x:c>
      <x:c r="M550" t="str">
        <x:f>MIN(15,A550+'Calculator'!$B$6)&amp;"/"&amp;MIN(15,B550+'Calculator'!$B$6)&amp;"/"&amp;MIN(15,C550+'Calculator'!$B$6)</x:f>
        <x:v>13/12/15</x:v>
      </x:c>
    </x:row>
    <x:row r="551">
      <x:c r="A551" t="n">
        <x:v>11</x:v>
      </x:c>
      <x:c r="B551" t="n">
        <x:v>10</x:v>
      </x:c>
      <x:c r="C551" t="n">
        <x:v>15</x:v>
      </x:c>
      <x:c r="D551" t="n">
        <x:f>MAX(10,ROUNDDOWN((('Calculator'!$B$10+A551)*SQRT('Calculator'!$B$11+B551)*SQRT('Calculator'!$B$12+C551)*0.59740001^2)/10,0))</x:f>
        <x:v>2327</x:v>
      </x:c>
      <x:c r="E551" t="n">
        <x:f>MAX(10,ROUNDDOWN((('Calculator'!$B$10+A551)*SQRT('Calculator'!$B$11+B551)*SQRT('Calculator'!$B$12+C551)*0.667934^2)/10,0))</x:f>
        <x:v>2909</x:v>
      </x:c>
      <x:c r="F551" t="n">
        <x:f>--AND(A551&gt;='Calculator'!$B$5,B551&gt;='Calculator'!$B$5,C551&gt;='Calculator'!$B$5)</x:f>
        <x:v>1</x:v>
      </x:c>
      <x:c r="G551" t="n">
        <x:f>--AND(A551+'Calculator'!$B$6&gt;=15,B551+'Calculator'!$B$6&gt;=15,C551+'Calculator'!$B$6&gt;=15)</x:f>
        <x:v>0</x:v>
      </x:c>
      <x:c r="H551" t="n">
        <x:f>--AND(F551=1,D551='Calculator'!$B$4)</x:f>
        <x:v>0</x:v>
      </x:c>
      <x:c r="I551" t="n">
        <x:f>--AND(H551=1,G551=1)</x:f>
        <x:v>0</x:v>
      </x:c>
      <x:c r="J551" t="n">
        <x:f>--AND(F551=1,E551='Calculator'!$B$4)</x:f>
        <x:v>0</x:v>
      </x:c>
      <x:c r="K551" t="n">
        <x:f>--AND(J551=1,G551=1)</x:f>
        <x:v>0</x:v>
      </x:c>
      <x:c r="L551" t="str">
        <x:f>A551&amp;"/"&amp;B551&amp;"/"&amp;C551</x:f>
        <x:v>11/10/15</x:v>
      </x:c>
      <x:c r="M551" t="str">
        <x:f>MIN(15,A551+'Calculator'!$B$6)&amp;"/"&amp;MIN(15,B551+'Calculator'!$B$6)&amp;"/"&amp;MIN(15,C551+'Calculator'!$B$6)</x:f>
        <x:v>13/12/15</x:v>
      </x:c>
    </x:row>
    <x:row r="552">
      <x:c r="A552" t="n">
        <x:v>11</x:v>
      </x:c>
      <x:c r="B552" t="n">
        <x:v>11</x:v>
      </x:c>
      <x:c r="C552" t="n">
        <x:v>6</x:v>
      </x:c>
      <x:c r="D552" t="n">
        <x:f>MAX(10,ROUNDDOWN((('Calculator'!$B$10+A552)*SQRT('Calculator'!$B$11+B552)*SQRT('Calculator'!$B$12+C552)*0.59740001^2)/10,0))</x:f>
        <x:v>2287</x:v>
      </x:c>
      <x:c r="E552" t="n">
        <x:f>MAX(10,ROUNDDOWN((('Calculator'!$B$10+A552)*SQRT('Calculator'!$B$11+B552)*SQRT('Calculator'!$B$12+C552)*0.667934^2)/10,0))</x:f>
        <x:v>2859</x:v>
      </x:c>
      <x:c r="F552" t="n">
        <x:f>--AND(A552&gt;='Calculator'!$B$5,B552&gt;='Calculator'!$B$5,C552&gt;='Calculator'!$B$5)</x:f>
        <x:v>1</x:v>
      </x:c>
      <x:c r="G552" t="n">
        <x:f>--AND(A552+'Calculator'!$B$6&gt;=15,B552+'Calculator'!$B$6&gt;=15,C552+'Calculator'!$B$6&gt;=15)</x:f>
        <x:v>0</x:v>
      </x:c>
      <x:c r="H552" t="n">
        <x:f>--AND(F552=1,D552='Calculator'!$B$4)</x:f>
        <x:v>0</x:v>
      </x:c>
      <x:c r="I552" t="n">
        <x:f>--AND(H552=1,G552=1)</x:f>
        <x:v>0</x:v>
      </x:c>
      <x:c r="J552" t="n">
        <x:f>--AND(F552=1,E552='Calculator'!$B$4)</x:f>
        <x:v>0</x:v>
      </x:c>
      <x:c r="K552" t="n">
        <x:f>--AND(J552=1,G552=1)</x:f>
        <x:v>0</x:v>
      </x:c>
      <x:c r="L552" t="str">
        <x:f>A552&amp;"/"&amp;B552&amp;"/"&amp;C552</x:f>
        <x:v>11/11/6</x:v>
      </x:c>
      <x:c r="M552" t="str">
        <x:f>MIN(15,A552+'Calculator'!$B$6)&amp;"/"&amp;MIN(15,B552+'Calculator'!$B$6)&amp;"/"&amp;MIN(15,C552+'Calculator'!$B$6)</x:f>
        <x:v>13/13/8</x:v>
      </x:c>
    </x:row>
    <x:row r="553">
      <x:c r="A553" t="n">
        <x:v>11</x:v>
      </x:c>
      <x:c r="B553" t="n">
        <x:v>11</x:v>
      </x:c>
      <x:c r="C553" t="n">
        <x:v>7</x:v>
      </x:c>
      <x:c r="D553" t="n">
        <x:f>MAX(10,ROUNDDOWN((('Calculator'!$B$10+A553)*SQRT('Calculator'!$B$11+B553)*SQRT('Calculator'!$B$12+C553)*0.59740001^2)/10,0))</x:f>
        <x:v>2292</x:v>
      </x:c>
      <x:c r="E553" t="n">
        <x:f>MAX(10,ROUNDDOWN((('Calculator'!$B$10+A553)*SQRT('Calculator'!$B$11+B553)*SQRT('Calculator'!$B$12+C553)*0.667934^2)/10,0))</x:f>
        <x:v>2865</x:v>
      </x:c>
      <x:c r="F553" t="n">
        <x:f>--AND(A553&gt;='Calculator'!$B$5,B553&gt;='Calculator'!$B$5,C553&gt;='Calculator'!$B$5)</x:f>
        <x:v>1</x:v>
      </x:c>
      <x:c r="G553" t="n">
        <x:f>--AND(A553+'Calculator'!$B$6&gt;=15,B553+'Calculator'!$B$6&gt;=15,C553+'Calculator'!$B$6&gt;=15)</x:f>
        <x:v>0</x:v>
      </x:c>
      <x:c r="H553" t="n">
        <x:f>--AND(F553=1,D553='Calculator'!$B$4)</x:f>
        <x:v>0</x:v>
      </x:c>
      <x:c r="I553" t="n">
        <x:f>--AND(H553=1,G553=1)</x:f>
        <x:v>0</x:v>
      </x:c>
      <x:c r="J553" t="n">
        <x:f>--AND(F553=1,E553='Calculator'!$B$4)</x:f>
        <x:v>0</x:v>
      </x:c>
      <x:c r="K553" t="n">
        <x:f>--AND(J553=1,G553=1)</x:f>
        <x:v>0</x:v>
      </x:c>
      <x:c r="L553" t="str">
        <x:f>A553&amp;"/"&amp;B553&amp;"/"&amp;C553</x:f>
        <x:v>11/11/7</x:v>
      </x:c>
      <x:c r="M553" t="str">
        <x:f>MIN(15,A553+'Calculator'!$B$6)&amp;"/"&amp;MIN(15,B553+'Calculator'!$B$6)&amp;"/"&amp;MIN(15,C553+'Calculator'!$B$6)</x:f>
        <x:v>13/13/9</x:v>
      </x:c>
    </x:row>
    <x:row r="554">
      <x:c r="A554" t="n">
        <x:v>11</x:v>
      </x:c>
      <x:c r="B554" t="n">
        <x:v>11</x:v>
      </x:c>
      <x:c r="C554" t="n">
        <x:v>8</x:v>
      </x:c>
      <x:c r="D554" t="n">
        <x:f>MAX(10,ROUNDDOWN((('Calculator'!$B$10+A554)*SQRT('Calculator'!$B$11+B554)*SQRT('Calculator'!$B$12+C554)*0.59740001^2)/10,0))</x:f>
        <x:v>2297</x:v>
      </x:c>
      <x:c r="E554" t="n">
        <x:f>MAX(10,ROUNDDOWN((('Calculator'!$B$10+A554)*SQRT('Calculator'!$B$11+B554)*SQRT('Calculator'!$B$12+C554)*0.667934^2)/10,0))</x:f>
        <x:v>2871</x:v>
      </x:c>
      <x:c r="F554" t="n">
        <x:f>--AND(A554&gt;='Calculator'!$B$5,B554&gt;='Calculator'!$B$5,C554&gt;='Calculator'!$B$5)</x:f>
        <x:v>1</x:v>
      </x:c>
      <x:c r="G554" t="n">
        <x:f>--AND(A554+'Calculator'!$B$6&gt;=15,B554+'Calculator'!$B$6&gt;=15,C554+'Calculator'!$B$6&gt;=15)</x:f>
        <x:v>0</x:v>
      </x:c>
      <x:c r="H554" t="n">
        <x:f>--AND(F554=1,D554='Calculator'!$B$4)</x:f>
        <x:v>0</x:v>
      </x:c>
      <x:c r="I554" t="n">
        <x:f>--AND(H554=1,G554=1)</x:f>
        <x:v>0</x:v>
      </x:c>
      <x:c r="J554" t="n">
        <x:f>--AND(F554=1,E554='Calculator'!$B$4)</x:f>
        <x:v>0</x:v>
      </x:c>
      <x:c r="K554" t="n">
        <x:f>--AND(J554=1,G554=1)</x:f>
        <x:v>0</x:v>
      </x:c>
      <x:c r="L554" t="str">
        <x:f>A554&amp;"/"&amp;B554&amp;"/"&amp;C554</x:f>
        <x:v>11/11/8</x:v>
      </x:c>
      <x:c r="M554" t="str">
        <x:f>MIN(15,A554+'Calculator'!$B$6)&amp;"/"&amp;MIN(15,B554+'Calculator'!$B$6)&amp;"/"&amp;MIN(15,C554+'Calculator'!$B$6)</x:f>
        <x:v>13/13/10</x:v>
      </x:c>
    </x:row>
    <x:row r="555">
      <x:c r="A555" t="n">
        <x:v>11</x:v>
      </x:c>
      <x:c r="B555" t="n">
        <x:v>11</x:v>
      </x:c>
      <x:c r="C555" t="n">
        <x:v>9</x:v>
      </x:c>
      <x:c r="D555" t="n">
        <x:f>MAX(10,ROUNDDOWN((('Calculator'!$B$10+A555)*SQRT('Calculator'!$B$11+B555)*SQRT('Calculator'!$B$12+C555)*0.59740001^2)/10,0))</x:f>
        <x:v>2302</x:v>
      </x:c>
      <x:c r="E555" t="n">
        <x:f>MAX(10,ROUNDDOWN((('Calculator'!$B$10+A555)*SQRT('Calculator'!$B$11+B555)*SQRT('Calculator'!$B$12+C555)*0.667934^2)/10,0))</x:f>
        <x:v>2878</x:v>
      </x:c>
      <x:c r="F555" t="n">
        <x:f>--AND(A555&gt;='Calculator'!$B$5,B555&gt;='Calculator'!$B$5,C555&gt;='Calculator'!$B$5)</x:f>
        <x:v>1</x:v>
      </x:c>
      <x:c r="G555" t="n">
        <x:f>--AND(A555+'Calculator'!$B$6&gt;=15,B555+'Calculator'!$B$6&gt;=15,C555+'Calculator'!$B$6&gt;=15)</x:f>
        <x:v>0</x:v>
      </x:c>
      <x:c r="H555" t="n">
        <x:f>--AND(F555=1,D555='Calculator'!$B$4)</x:f>
        <x:v>0</x:v>
      </x:c>
      <x:c r="I555" t="n">
        <x:f>--AND(H555=1,G555=1)</x:f>
        <x:v>0</x:v>
      </x:c>
      <x:c r="J555" t="n">
        <x:f>--AND(F555=1,E555='Calculator'!$B$4)</x:f>
        <x:v>0</x:v>
      </x:c>
      <x:c r="K555" t="n">
        <x:f>--AND(J555=1,G555=1)</x:f>
        <x:v>0</x:v>
      </x:c>
      <x:c r="L555" t="str">
        <x:f>A555&amp;"/"&amp;B555&amp;"/"&amp;C555</x:f>
        <x:v>11/11/9</x:v>
      </x:c>
      <x:c r="M555" t="str">
        <x:f>MIN(15,A555+'Calculator'!$B$6)&amp;"/"&amp;MIN(15,B555+'Calculator'!$B$6)&amp;"/"&amp;MIN(15,C555+'Calculator'!$B$6)</x:f>
        <x:v>13/13/11</x:v>
      </x:c>
    </x:row>
    <x:row r="556">
      <x:c r="A556" t="n">
        <x:v>11</x:v>
      </x:c>
      <x:c r="B556" t="n">
        <x:v>11</x:v>
      </x:c>
      <x:c r="C556" t="n">
        <x:v>10</x:v>
      </x:c>
      <x:c r="D556" t="n">
        <x:f>MAX(10,ROUNDDOWN((('Calculator'!$B$10+A556)*SQRT('Calculator'!$B$11+B556)*SQRT('Calculator'!$B$12+C556)*0.59740001^2)/10,0))</x:f>
        <x:v>2307</x:v>
      </x:c>
      <x:c r="E556" t="n">
        <x:f>MAX(10,ROUNDDOWN((('Calculator'!$B$10+A556)*SQRT('Calculator'!$B$11+B556)*SQRT('Calculator'!$B$12+C556)*0.667934^2)/10,0))</x:f>
        <x:v>2884</x:v>
      </x:c>
      <x:c r="F556" t="n">
        <x:f>--AND(A556&gt;='Calculator'!$B$5,B556&gt;='Calculator'!$B$5,C556&gt;='Calculator'!$B$5)</x:f>
        <x:v>1</x:v>
      </x:c>
      <x:c r="G556" t="n">
        <x:f>--AND(A556+'Calculator'!$B$6&gt;=15,B556+'Calculator'!$B$6&gt;=15,C556+'Calculator'!$B$6&gt;=15)</x:f>
        <x:v>0</x:v>
      </x:c>
      <x:c r="H556" t="n">
        <x:f>--AND(F556=1,D556='Calculator'!$B$4)</x:f>
        <x:v>0</x:v>
      </x:c>
      <x:c r="I556" t="n">
        <x:f>--AND(H556=1,G556=1)</x:f>
        <x:v>0</x:v>
      </x:c>
      <x:c r="J556" t="n">
        <x:f>--AND(F556=1,E556='Calculator'!$B$4)</x:f>
        <x:v>0</x:v>
      </x:c>
      <x:c r="K556" t="n">
        <x:f>--AND(J556=1,G556=1)</x:f>
        <x:v>0</x:v>
      </x:c>
      <x:c r="L556" t="str">
        <x:f>A556&amp;"/"&amp;B556&amp;"/"&amp;C556</x:f>
        <x:v>11/11/10</x:v>
      </x:c>
      <x:c r="M556" t="str">
        <x:f>MIN(15,A556+'Calculator'!$B$6)&amp;"/"&amp;MIN(15,B556+'Calculator'!$B$6)&amp;"/"&amp;MIN(15,C556+'Calculator'!$B$6)</x:f>
        <x:v>13/13/12</x:v>
      </x:c>
    </x:row>
    <x:row r="557">
      <x:c r="A557" t="n">
        <x:v>11</x:v>
      </x:c>
      <x:c r="B557" t="n">
        <x:v>11</x:v>
      </x:c>
      <x:c r="C557" t="n">
        <x:v>11</x:v>
      </x:c>
      <x:c r="D557" t="n">
        <x:f>MAX(10,ROUNDDOWN((('Calculator'!$B$10+A557)*SQRT('Calculator'!$B$11+B557)*SQRT('Calculator'!$B$12+C557)*0.59740001^2)/10,0))</x:f>
        <x:v>2312</x:v>
      </x:c>
      <x:c r="E557" t="n">
        <x:f>MAX(10,ROUNDDOWN((('Calculator'!$B$10+A557)*SQRT('Calculator'!$B$11+B557)*SQRT('Calculator'!$B$12+C557)*0.667934^2)/10,0))</x:f>
        <x:v>2891</x:v>
      </x:c>
      <x:c r="F557" t="n">
        <x:f>--AND(A557&gt;='Calculator'!$B$5,B557&gt;='Calculator'!$B$5,C557&gt;='Calculator'!$B$5)</x:f>
        <x:v>1</x:v>
      </x:c>
      <x:c r="G557" t="n">
        <x:f>--AND(A557+'Calculator'!$B$6&gt;=15,B557+'Calculator'!$B$6&gt;=15,C557+'Calculator'!$B$6&gt;=15)</x:f>
        <x:v>0</x:v>
      </x:c>
      <x:c r="H557" t="n">
        <x:f>--AND(F557=1,D557='Calculator'!$B$4)</x:f>
        <x:v>0</x:v>
      </x:c>
      <x:c r="I557" t="n">
        <x:f>--AND(H557=1,G557=1)</x:f>
        <x:v>0</x:v>
      </x:c>
      <x:c r="J557" t="n">
        <x:f>--AND(F557=1,E557='Calculator'!$B$4)</x:f>
        <x:v>0</x:v>
      </x:c>
      <x:c r="K557" t="n">
        <x:f>--AND(J557=1,G557=1)</x:f>
        <x:v>0</x:v>
      </x:c>
      <x:c r="L557" t="str">
        <x:f>A557&amp;"/"&amp;B557&amp;"/"&amp;C557</x:f>
        <x:v>11/11/11</x:v>
      </x:c>
      <x:c r="M557" t="str">
        <x:f>MIN(15,A557+'Calculator'!$B$6)&amp;"/"&amp;MIN(15,B557+'Calculator'!$B$6)&amp;"/"&amp;MIN(15,C557+'Calculator'!$B$6)</x:f>
        <x:v>13/13/13</x:v>
      </x:c>
    </x:row>
    <x:row r="558">
      <x:c r="A558" t="n">
        <x:v>11</x:v>
      </x:c>
      <x:c r="B558" t="n">
        <x:v>11</x:v>
      </x:c>
      <x:c r="C558" t="n">
        <x:v>12</x:v>
      </x:c>
      <x:c r="D558" t="n">
        <x:f>MAX(10,ROUNDDOWN((('Calculator'!$B$10+A558)*SQRT('Calculator'!$B$11+B558)*SQRT('Calculator'!$B$12+C558)*0.59740001^2)/10,0))</x:f>
        <x:v>2318</x:v>
      </x:c>
      <x:c r="E558" t="n">
        <x:f>MAX(10,ROUNDDOWN((('Calculator'!$B$10+A558)*SQRT('Calculator'!$B$11+B558)*SQRT('Calculator'!$B$12+C558)*0.667934^2)/10,0))</x:f>
        <x:v>2897</x:v>
      </x:c>
      <x:c r="F558" t="n">
        <x:f>--AND(A558&gt;='Calculator'!$B$5,B558&gt;='Calculator'!$B$5,C558&gt;='Calculator'!$B$5)</x:f>
        <x:v>1</x:v>
      </x:c>
      <x:c r="G558" t="n">
        <x:f>--AND(A558+'Calculator'!$B$6&gt;=15,B558+'Calculator'!$B$6&gt;=15,C558+'Calculator'!$B$6&gt;=15)</x:f>
        <x:v>0</x:v>
      </x:c>
      <x:c r="H558" t="n">
        <x:f>--AND(F558=1,D558='Calculator'!$B$4)</x:f>
        <x:v>0</x:v>
      </x:c>
      <x:c r="I558" t="n">
        <x:f>--AND(H558=1,G558=1)</x:f>
        <x:v>0</x:v>
      </x:c>
      <x:c r="J558" t="n">
        <x:f>--AND(F558=1,E558='Calculator'!$B$4)</x:f>
        <x:v>0</x:v>
      </x:c>
      <x:c r="K558" t="n">
        <x:f>--AND(J558=1,G558=1)</x:f>
        <x:v>0</x:v>
      </x:c>
      <x:c r="L558" t="str">
        <x:f>A558&amp;"/"&amp;B558&amp;"/"&amp;C558</x:f>
        <x:v>11/11/12</x:v>
      </x:c>
      <x:c r="M558" t="str">
        <x:f>MIN(15,A558+'Calculator'!$B$6)&amp;"/"&amp;MIN(15,B558+'Calculator'!$B$6)&amp;"/"&amp;MIN(15,C558+'Calculator'!$B$6)</x:f>
        <x:v>13/13/14</x:v>
      </x:c>
    </x:row>
    <x:row r="559">
      <x:c r="A559" t="n">
        <x:v>11</x:v>
      </x:c>
      <x:c r="B559" t="n">
        <x:v>11</x:v>
      </x:c>
      <x:c r="C559" t="n">
        <x:v>13</x:v>
      </x:c>
      <x:c r="D559" t="n">
        <x:f>MAX(10,ROUNDDOWN((('Calculator'!$B$10+A559)*SQRT('Calculator'!$B$11+B559)*SQRT('Calculator'!$B$12+C559)*0.59740001^2)/10,0))</x:f>
        <x:v>2323</x:v>
      </x:c>
      <x:c r="E559" t="n">
        <x:f>MAX(10,ROUNDDOWN((('Calculator'!$B$10+A559)*SQRT('Calculator'!$B$11+B559)*SQRT('Calculator'!$B$12+C559)*0.667934^2)/10,0))</x:f>
        <x:v>2904</x:v>
      </x:c>
      <x:c r="F559" t="n">
        <x:f>--AND(A559&gt;='Calculator'!$B$5,B559&gt;='Calculator'!$B$5,C559&gt;='Calculator'!$B$5)</x:f>
        <x:v>1</x:v>
      </x:c>
      <x:c r="G559" t="n">
        <x:f>--AND(A559+'Calculator'!$B$6&gt;=15,B559+'Calculator'!$B$6&gt;=15,C559+'Calculator'!$B$6&gt;=15)</x:f>
        <x:v>0</x:v>
      </x:c>
      <x:c r="H559" t="n">
        <x:f>--AND(F559=1,D559='Calculator'!$B$4)</x:f>
        <x:v>0</x:v>
      </x:c>
      <x:c r="I559" t="n">
        <x:f>--AND(H559=1,G559=1)</x:f>
        <x:v>0</x:v>
      </x:c>
      <x:c r="J559" t="n">
        <x:f>--AND(F559=1,E559='Calculator'!$B$4)</x:f>
        <x:v>0</x:v>
      </x:c>
      <x:c r="K559" t="n">
        <x:f>--AND(J559=1,G559=1)</x:f>
        <x:v>0</x:v>
      </x:c>
      <x:c r="L559" t="str">
        <x:f>A559&amp;"/"&amp;B559&amp;"/"&amp;C559</x:f>
        <x:v>11/11/13</x:v>
      </x:c>
      <x:c r="M559" t="str">
        <x:f>MIN(15,A559+'Calculator'!$B$6)&amp;"/"&amp;MIN(15,B559+'Calculator'!$B$6)&amp;"/"&amp;MIN(15,C559+'Calculator'!$B$6)</x:f>
        <x:v>13/13/15</x:v>
      </x:c>
    </x:row>
    <x:row r="560">
      <x:c r="A560" t="n">
        <x:v>11</x:v>
      </x:c>
      <x:c r="B560" t="n">
        <x:v>11</x:v>
      </x:c>
      <x:c r="C560" t="n">
        <x:v>14</x:v>
      </x:c>
      <x:c r="D560" t="n">
        <x:f>MAX(10,ROUNDDOWN((('Calculator'!$B$10+A560)*SQRT('Calculator'!$B$11+B560)*SQRT('Calculator'!$B$12+C560)*0.59740001^2)/10,0))</x:f>
        <x:v>2328</x:v>
      </x:c>
      <x:c r="E560" t="n">
        <x:f>MAX(10,ROUNDDOWN((('Calculator'!$B$10+A560)*SQRT('Calculator'!$B$11+B560)*SQRT('Calculator'!$B$12+C560)*0.667934^2)/10,0))</x:f>
        <x:v>2910</x:v>
      </x:c>
      <x:c r="F560" t="n">
        <x:f>--AND(A560&gt;='Calculator'!$B$5,B560&gt;='Calculator'!$B$5,C560&gt;='Calculator'!$B$5)</x:f>
        <x:v>1</x:v>
      </x:c>
      <x:c r="G560" t="n">
        <x:f>--AND(A560+'Calculator'!$B$6&gt;=15,B560+'Calculator'!$B$6&gt;=15,C560+'Calculator'!$B$6&gt;=15)</x:f>
        <x:v>0</x:v>
      </x:c>
      <x:c r="H560" t="n">
        <x:f>--AND(F560=1,D560='Calculator'!$B$4)</x:f>
        <x:v>0</x:v>
      </x:c>
      <x:c r="I560" t="n">
        <x:f>--AND(H560=1,G560=1)</x:f>
        <x:v>0</x:v>
      </x:c>
      <x:c r="J560" t="n">
        <x:f>--AND(F560=1,E560='Calculator'!$B$4)</x:f>
        <x:v>0</x:v>
      </x:c>
      <x:c r="K560" t="n">
        <x:f>--AND(J560=1,G560=1)</x:f>
        <x:v>0</x:v>
      </x:c>
      <x:c r="L560" t="str">
        <x:f>A560&amp;"/"&amp;B560&amp;"/"&amp;C560</x:f>
        <x:v>11/11/14</x:v>
      </x:c>
      <x:c r="M560" t="str">
        <x:f>MIN(15,A560+'Calculator'!$B$6)&amp;"/"&amp;MIN(15,B560+'Calculator'!$B$6)&amp;"/"&amp;MIN(15,C560+'Calculator'!$B$6)</x:f>
        <x:v>13/13/15</x:v>
      </x:c>
    </x:row>
    <x:row r="561">
      <x:c r="A561" t="n">
        <x:v>11</x:v>
      </x:c>
      <x:c r="B561" t="n">
        <x:v>11</x:v>
      </x:c>
      <x:c r="C561" t="n">
        <x:v>15</x:v>
      </x:c>
      <x:c r="D561" t="n">
        <x:f>MAX(10,ROUNDDOWN((('Calculator'!$B$10+A561)*SQRT('Calculator'!$B$11+B561)*SQRT('Calculator'!$B$12+C561)*0.59740001^2)/10,0))</x:f>
        <x:v>2333</x:v>
      </x:c>
      <x:c r="E561" t="n">
        <x:f>MAX(10,ROUNDDOWN((('Calculator'!$B$10+A561)*SQRT('Calculator'!$B$11+B561)*SQRT('Calculator'!$B$12+C561)*0.667934^2)/10,0))</x:f>
        <x:v>2916</x:v>
      </x:c>
      <x:c r="F561" t="n">
        <x:f>--AND(A561&gt;='Calculator'!$B$5,B561&gt;='Calculator'!$B$5,C561&gt;='Calculator'!$B$5)</x:f>
        <x:v>1</x:v>
      </x:c>
      <x:c r="G561" t="n">
        <x:f>--AND(A561+'Calculator'!$B$6&gt;=15,B561+'Calculator'!$B$6&gt;=15,C561+'Calculator'!$B$6&gt;=15)</x:f>
        <x:v>0</x:v>
      </x:c>
      <x:c r="H561" t="n">
        <x:f>--AND(F561=1,D561='Calculator'!$B$4)</x:f>
        <x:v>0</x:v>
      </x:c>
      <x:c r="I561" t="n">
        <x:f>--AND(H561=1,G561=1)</x:f>
        <x:v>0</x:v>
      </x:c>
      <x:c r="J561" t="n">
        <x:f>--AND(F561=1,E561='Calculator'!$B$4)</x:f>
        <x:v>0</x:v>
      </x:c>
      <x:c r="K561" t="n">
        <x:f>--AND(J561=1,G561=1)</x:f>
        <x:v>0</x:v>
      </x:c>
      <x:c r="L561" t="str">
        <x:f>A561&amp;"/"&amp;B561&amp;"/"&amp;C561</x:f>
        <x:v>11/11/15</x:v>
      </x:c>
      <x:c r="M561" t="str">
        <x:f>MIN(15,A561+'Calculator'!$B$6)&amp;"/"&amp;MIN(15,B561+'Calculator'!$B$6)&amp;"/"&amp;MIN(15,C561+'Calculator'!$B$6)</x:f>
        <x:v>13/13/15</x:v>
      </x:c>
    </x:row>
    <x:row r="562">
      <x:c r="A562" t="n">
        <x:v>11</x:v>
      </x:c>
      <x:c r="B562" t="n">
        <x:v>12</x:v>
      </x:c>
      <x:c r="C562" t="n">
        <x:v>6</x:v>
      </x:c>
      <x:c r="D562" t="n">
        <x:f>MAX(10,ROUNDDOWN((('Calculator'!$B$10+A562)*SQRT('Calculator'!$B$11+B562)*SQRT('Calculator'!$B$12+C562)*0.59740001^2)/10,0))</x:f>
        <x:v>2292</x:v>
      </x:c>
      <x:c r="E562" t="n">
        <x:f>MAX(10,ROUNDDOWN((('Calculator'!$B$10+A562)*SQRT('Calculator'!$B$11+B562)*SQRT('Calculator'!$B$12+C562)*0.667934^2)/10,0))</x:f>
        <x:v>2866</x:v>
      </x:c>
      <x:c r="F562" t="n">
        <x:f>--AND(A562&gt;='Calculator'!$B$5,B562&gt;='Calculator'!$B$5,C562&gt;='Calculator'!$B$5)</x:f>
        <x:v>1</x:v>
      </x:c>
      <x:c r="G562" t="n">
        <x:f>--AND(A562+'Calculator'!$B$6&gt;=15,B562+'Calculator'!$B$6&gt;=15,C562+'Calculator'!$B$6&gt;=15)</x:f>
        <x:v>0</x:v>
      </x:c>
      <x:c r="H562" t="n">
        <x:f>--AND(F562=1,D562='Calculator'!$B$4)</x:f>
        <x:v>0</x:v>
      </x:c>
      <x:c r="I562" t="n">
        <x:f>--AND(H562=1,G562=1)</x:f>
        <x:v>0</x:v>
      </x:c>
      <x:c r="J562" t="n">
        <x:f>--AND(F562=1,E562='Calculator'!$B$4)</x:f>
        <x:v>0</x:v>
      </x:c>
      <x:c r="K562" t="n">
        <x:f>--AND(J562=1,G562=1)</x:f>
        <x:v>0</x:v>
      </x:c>
      <x:c r="L562" t="str">
        <x:f>A562&amp;"/"&amp;B562&amp;"/"&amp;C562</x:f>
        <x:v>11/12/6</x:v>
      </x:c>
      <x:c r="M562" t="str">
        <x:f>MIN(15,A562+'Calculator'!$B$6)&amp;"/"&amp;MIN(15,B562+'Calculator'!$B$6)&amp;"/"&amp;MIN(15,C562+'Calculator'!$B$6)</x:f>
        <x:v>13/14/8</x:v>
      </x:c>
    </x:row>
    <x:row r="563">
      <x:c r="A563" t="n">
        <x:v>11</x:v>
      </x:c>
      <x:c r="B563" t="n">
        <x:v>12</x:v>
      </x:c>
      <x:c r="C563" t="n">
        <x:v>7</x:v>
      </x:c>
      <x:c r="D563" t="n">
        <x:f>MAX(10,ROUNDDOWN((('Calculator'!$B$10+A563)*SQRT('Calculator'!$B$11+B563)*SQRT('Calculator'!$B$12+C563)*0.59740001^2)/10,0))</x:f>
        <x:v>2298</x:v>
      </x:c>
      <x:c r="E563" t="n">
        <x:f>MAX(10,ROUNDDOWN((('Calculator'!$B$10+A563)*SQRT('Calculator'!$B$11+B563)*SQRT('Calculator'!$B$12+C563)*0.667934^2)/10,0))</x:f>
        <x:v>2872</x:v>
      </x:c>
      <x:c r="F563" t="n">
        <x:f>--AND(A563&gt;='Calculator'!$B$5,B563&gt;='Calculator'!$B$5,C563&gt;='Calculator'!$B$5)</x:f>
        <x:v>1</x:v>
      </x:c>
      <x:c r="G563" t="n">
        <x:f>--AND(A563+'Calculator'!$B$6&gt;=15,B563+'Calculator'!$B$6&gt;=15,C563+'Calculator'!$B$6&gt;=15)</x:f>
        <x:v>0</x:v>
      </x:c>
      <x:c r="H563" t="n">
        <x:f>--AND(F563=1,D563='Calculator'!$B$4)</x:f>
        <x:v>0</x:v>
      </x:c>
      <x:c r="I563" t="n">
        <x:f>--AND(H563=1,G563=1)</x:f>
        <x:v>0</x:v>
      </x:c>
      <x:c r="J563" t="n">
        <x:f>--AND(F563=1,E563='Calculator'!$B$4)</x:f>
        <x:v>0</x:v>
      </x:c>
      <x:c r="K563" t="n">
        <x:f>--AND(J563=1,G563=1)</x:f>
        <x:v>0</x:v>
      </x:c>
      <x:c r="L563" t="str">
        <x:f>A563&amp;"/"&amp;B563&amp;"/"&amp;C563</x:f>
        <x:v>11/12/7</x:v>
      </x:c>
      <x:c r="M563" t="str">
        <x:f>MIN(15,A563+'Calculator'!$B$6)&amp;"/"&amp;MIN(15,B563+'Calculator'!$B$6)&amp;"/"&amp;MIN(15,C563+'Calculator'!$B$6)</x:f>
        <x:v>13/14/9</x:v>
      </x:c>
    </x:row>
    <x:row r="564">
      <x:c r="A564" t="n">
        <x:v>11</x:v>
      </x:c>
      <x:c r="B564" t="n">
        <x:v>12</x:v>
      </x:c>
      <x:c r="C564" t="n">
        <x:v>8</x:v>
      </x:c>
      <x:c r="D564" t="n">
        <x:f>MAX(10,ROUNDDOWN((('Calculator'!$B$10+A564)*SQRT('Calculator'!$B$11+B564)*SQRT('Calculator'!$B$12+C564)*0.59740001^2)/10,0))</x:f>
        <x:v>2303</x:v>
      </x:c>
      <x:c r="E564" t="n">
        <x:f>MAX(10,ROUNDDOWN((('Calculator'!$B$10+A564)*SQRT('Calculator'!$B$11+B564)*SQRT('Calculator'!$B$12+C564)*0.667934^2)/10,0))</x:f>
        <x:v>2879</x:v>
      </x:c>
      <x:c r="F564" t="n">
        <x:f>--AND(A564&gt;='Calculator'!$B$5,B564&gt;='Calculator'!$B$5,C564&gt;='Calculator'!$B$5)</x:f>
        <x:v>1</x:v>
      </x:c>
      <x:c r="G564" t="n">
        <x:f>--AND(A564+'Calculator'!$B$6&gt;=15,B564+'Calculator'!$B$6&gt;=15,C564+'Calculator'!$B$6&gt;=15)</x:f>
        <x:v>0</x:v>
      </x:c>
      <x:c r="H564" t="n">
        <x:f>--AND(F564=1,D564='Calculator'!$B$4)</x:f>
        <x:v>0</x:v>
      </x:c>
      <x:c r="I564" t="n">
        <x:f>--AND(H564=1,G564=1)</x:f>
        <x:v>0</x:v>
      </x:c>
      <x:c r="J564" t="n">
        <x:f>--AND(F564=1,E564='Calculator'!$B$4)</x:f>
        <x:v>0</x:v>
      </x:c>
      <x:c r="K564" t="n">
        <x:f>--AND(J564=1,G564=1)</x:f>
        <x:v>0</x:v>
      </x:c>
      <x:c r="L564" t="str">
        <x:f>A564&amp;"/"&amp;B564&amp;"/"&amp;C564</x:f>
        <x:v>11/12/8</x:v>
      </x:c>
      <x:c r="M564" t="str">
        <x:f>MIN(15,A564+'Calculator'!$B$6)&amp;"/"&amp;MIN(15,B564+'Calculator'!$B$6)&amp;"/"&amp;MIN(15,C564+'Calculator'!$B$6)</x:f>
        <x:v>13/14/10</x:v>
      </x:c>
    </x:row>
    <x:row r="565">
      <x:c r="A565" t="n">
        <x:v>11</x:v>
      </x:c>
      <x:c r="B565" t="n">
        <x:v>12</x:v>
      </x:c>
      <x:c r="C565" t="n">
        <x:v>9</x:v>
      </x:c>
      <x:c r="D565" t="n">
        <x:f>MAX(10,ROUNDDOWN((('Calculator'!$B$10+A565)*SQRT('Calculator'!$B$11+B565)*SQRT('Calculator'!$B$12+C565)*0.59740001^2)/10,0))</x:f>
        <x:v>2308</x:v>
      </x:c>
      <x:c r="E565" t="n">
        <x:f>MAX(10,ROUNDDOWN((('Calculator'!$B$10+A565)*SQRT('Calculator'!$B$11+B565)*SQRT('Calculator'!$B$12+C565)*0.667934^2)/10,0))</x:f>
        <x:v>2885</x:v>
      </x:c>
      <x:c r="F565" t="n">
        <x:f>--AND(A565&gt;='Calculator'!$B$5,B565&gt;='Calculator'!$B$5,C565&gt;='Calculator'!$B$5)</x:f>
        <x:v>1</x:v>
      </x:c>
      <x:c r="G565" t="n">
        <x:f>--AND(A565+'Calculator'!$B$6&gt;=15,B565+'Calculator'!$B$6&gt;=15,C565+'Calculator'!$B$6&gt;=15)</x:f>
        <x:v>0</x:v>
      </x:c>
      <x:c r="H565" t="n">
        <x:f>--AND(F565=1,D565='Calculator'!$B$4)</x:f>
        <x:v>0</x:v>
      </x:c>
      <x:c r="I565" t="n">
        <x:f>--AND(H565=1,G565=1)</x:f>
        <x:v>0</x:v>
      </x:c>
      <x:c r="J565" t="n">
        <x:f>--AND(F565=1,E565='Calculator'!$B$4)</x:f>
        <x:v>0</x:v>
      </x:c>
      <x:c r="K565" t="n">
        <x:f>--AND(J565=1,G565=1)</x:f>
        <x:v>0</x:v>
      </x:c>
      <x:c r="L565" t="str">
        <x:f>A565&amp;"/"&amp;B565&amp;"/"&amp;C565</x:f>
        <x:v>11/12/9</x:v>
      </x:c>
      <x:c r="M565" t="str">
        <x:f>MIN(15,A565+'Calculator'!$B$6)&amp;"/"&amp;MIN(15,B565+'Calculator'!$B$6)&amp;"/"&amp;MIN(15,C565+'Calculator'!$B$6)</x:f>
        <x:v>13/14/11</x:v>
      </x:c>
    </x:row>
    <x:row r="566">
      <x:c r="A566" t="n">
        <x:v>11</x:v>
      </x:c>
      <x:c r="B566" t="n">
        <x:v>12</x:v>
      </x:c>
      <x:c r="C566" t="n">
        <x:v>10</x:v>
      </x:c>
      <x:c r="D566" t="n">
        <x:f>MAX(10,ROUNDDOWN((('Calculator'!$B$10+A566)*SQRT('Calculator'!$B$11+B566)*SQRT('Calculator'!$B$12+C566)*0.59740001^2)/10,0))</x:f>
        <x:v>2313</x:v>
      </x:c>
      <x:c r="E566" t="n">
        <x:f>MAX(10,ROUNDDOWN((('Calculator'!$B$10+A566)*SQRT('Calculator'!$B$11+B566)*SQRT('Calculator'!$B$12+C566)*0.667934^2)/10,0))</x:f>
        <x:v>2892</x:v>
      </x:c>
      <x:c r="F566" t="n">
        <x:f>--AND(A566&gt;='Calculator'!$B$5,B566&gt;='Calculator'!$B$5,C566&gt;='Calculator'!$B$5)</x:f>
        <x:v>1</x:v>
      </x:c>
      <x:c r="G566" t="n">
        <x:f>--AND(A566+'Calculator'!$B$6&gt;=15,B566+'Calculator'!$B$6&gt;=15,C566+'Calculator'!$B$6&gt;=15)</x:f>
        <x:v>0</x:v>
      </x:c>
      <x:c r="H566" t="n">
        <x:f>--AND(F566=1,D566='Calculator'!$B$4)</x:f>
        <x:v>0</x:v>
      </x:c>
      <x:c r="I566" t="n">
        <x:f>--AND(H566=1,G566=1)</x:f>
        <x:v>0</x:v>
      </x:c>
      <x:c r="J566" t="n">
        <x:f>--AND(F566=1,E566='Calculator'!$B$4)</x:f>
        <x:v>0</x:v>
      </x:c>
      <x:c r="K566" t="n">
        <x:f>--AND(J566=1,G566=1)</x:f>
        <x:v>0</x:v>
      </x:c>
      <x:c r="L566" t="str">
        <x:f>A566&amp;"/"&amp;B566&amp;"/"&amp;C566</x:f>
        <x:v>11/12/10</x:v>
      </x:c>
      <x:c r="M566" t="str">
        <x:f>MIN(15,A566+'Calculator'!$B$6)&amp;"/"&amp;MIN(15,B566+'Calculator'!$B$6)&amp;"/"&amp;MIN(15,C566+'Calculator'!$B$6)</x:f>
        <x:v>13/14/12</x:v>
      </x:c>
    </x:row>
    <x:row r="567">
      <x:c r="A567" t="n">
        <x:v>11</x:v>
      </x:c>
      <x:c r="B567" t="n">
        <x:v>12</x:v>
      </x:c>
      <x:c r="C567" t="n">
        <x:v>11</x:v>
      </x:c>
      <x:c r="D567" t="n">
        <x:f>MAX(10,ROUNDDOWN((('Calculator'!$B$10+A567)*SQRT('Calculator'!$B$11+B567)*SQRT('Calculator'!$B$12+C567)*0.59740001^2)/10,0))</x:f>
        <x:v>2318</x:v>
      </x:c>
      <x:c r="E567" t="n">
        <x:f>MAX(10,ROUNDDOWN((('Calculator'!$B$10+A567)*SQRT('Calculator'!$B$11+B567)*SQRT('Calculator'!$B$12+C567)*0.667934^2)/10,0))</x:f>
        <x:v>2898</x:v>
      </x:c>
      <x:c r="F567" t="n">
        <x:f>--AND(A567&gt;='Calculator'!$B$5,B567&gt;='Calculator'!$B$5,C567&gt;='Calculator'!$B$5)</x:f>
        <x:v>1</x:v>
      </x:c>
      <x:c r="G567" t="n">
        <x:f>--AND(A567+'Calculator'!$B$6&gt;=15,B567+'Calculator'!$B$6&gt;=15,C567+'Calculator'!$B$6&gt;=15)</x:f>
        <x:v>0</x:v>
      </x:c>
      <x:c r="H567" t="n">
        <x:f>--AND(F567=1,D567='Calculator'!$B$4)</x:f>
        <x:v>0</x:v>
      </x:c>
      <x:c r="I567" t="n">
        <x:f>--AND(H567=1,G567=1)</x:f>
        <x:v>0</x:v>
      </x:c>
      <x:c r="J567" t="n">
        <x:f>--AND(F567=1,E567='Calculator'!$B$4)</x:f>
        <x:v>0</x:v>
      </x:c>
      <x:c r="K567" t="n">
        <x:f>--AND(J567=1,G567=1)</x:f>
        <x:v>0</x:v>
      </x:c>
      <x:c r="L567" t="str">
        <x:f>A567&amp;"/"&amp;B567&amp;"/"&amp;C567</x:f>
        <x:v>11/12/11</x:v>
      </x:c>
      <x:c r="M567" t="str">
        <x:f>MIN(15,A567+'Calculator'!$B$6)&amp;"/"&amp;MIN(15,B567+'Calculator'!$B$6)&amp;"/"&amp;MIN(15,C567+'Calculator'!$B$6)</x:f>
        <x:v>13/14/13</x:v>
      </x:c>
    </x:row>
    <x:row r="568">
      <x:c r="A568" t="n">
        <x:v>11</x:v>
      </x:c>
      <x:c r="B568" t="n">
        <x:v>12</x:v>
      </x:c>
      <x:c r="C568" t="n">
        <x:v>12</x:v>
      </x:c>
      <x:c r="D568" t="n">
        <x:f>MAX(10,ROUNDDOWN((('Calculator'!$B$10+A568)*SQRT('Calculator'!$B$11+B568)*SQRT('Calculator'!$B$12+C568)*0.59740001^2)/10,0))</x:f>
        <x:v>2324</x:v>
      </x:c>
      <x:c r="E568" t="n">
        <x:f>MAX(10,ROUNDDOWN((('Calculator'!$B$10+A568)*SQRT('Calculator'!$B$11+B568)*SQRT('Calculator'!$B$12+C568)*0.667934^2)/10,0))</x:f>
        <x:v>2905</x:v>
      </x:c>
      <x:c r="F568" t="n">
        <x:f>--AND(A568&gt;='Calculator'!$B$5,B568&gt;='Calculator'!$B$5,C568&gt;='Calculator'!$B$5)</x:f>
        <x:v>1</x:v>
      </x:c>
      <x:c r="G568" t="n">
        <x:f>--AND(A568+'Calculator'!$B$6&gt;=15,B568+'Calculator'!$B$6&gt;=15,C568+'Calculator'!$B$6&gt;=15)</x:f>
        <x:v>0</x:v>
      </x:c>
      <x:c r="H568" t="n">
        <x:f>--AND(F568=1,D568='Calculator'!$B$4)</x:f>
        <x:v>0</x:v>
      </x:c>
      <x:c r="I568" t="n">
        <x:f>--AND(H568=1,G568=1)</x:f>
        <x:v>0</x:v>
      </x:c>
      <x:c r="J568" t="n">
        <x:f>--AND(F568=1,E568='Calculator'!$B$4)</x:f>
        <x:v>0</x:v>
      </x:c>
      <x:c r="K568" t="n">
        <x:f>--AND(J568=1,G568=1)</x:f>
        <x:v>0</x:v>
      </x:c>
      <x:c r="L568" t="str">
        <x:f>A568&amp;"/"&amp;B568&amp;"/"&amp;C568</x:f>
        <x:v>11/12/12</x:v>
      </x:c>
      <x:c r="M568" t="str">
        <x:f>MIN(15,A568+'Calculator'!$B$6)&amp;"/"&amp;MIN(15,B568+'Calculator'!$B$6)&amp;"/"&amp;MIN(15,C568+'Calculator'!$B$6)</x:f>
        <x:v>13/14/14</x:v>
      </x:c>
    </x:row>
    <x:row r="569">
      <x:c r="A569" t="n">
        <x:v>11</x:v>
      </x:c>
      <x:c r="B569" t="n">
        <x:v>12</x:v>
      </x:c>
      <x:c r="C569" t="n">
        <x:v>13</x:v>
      </x:c>
      <x:c r="D569" t="n">
        <x:f>MAX(10,ROUNDDOWN((('Calculator'!$B$10+A569)*SQRT('Calculator'!$B$11+B569)*SQRT('Calculator'!$B$12+C569)*0.59740001^2)/10,0))</x:f>
        <x:v>2329</x:v>
      </x:c>
      <x:c r="E569" t="n">
        <x:f>MAX(10,ROUNDDOWN((('Calculator'!$B$10+A569)*SQRT('Calculator'!$B$11+B569)*SQRT('Calculator'!$B$12+C569)*0.667934^2)/10,0))</x:f>
        <x:v>2911</x:v>
      </x:c>
      <x:c r="F569" t="n">
        <x:f>--AND(A569&gt;='Calculator'!$B$5,B569&gt;='Calculator'!$B$5,C569&gt;='Calculator'!$B$5)</x:f>
        <x:v>1</x:v>
      </x:c>
      <x:c r="G569" t="n">
        <x:f>--AND(A569+'Calculator'!$B$6&gt;=15,B569+'Calculator'!$B$6&gt;=15,C569+'Calculator'!$B$6&gt;=15)</x:f>
        <x:v>0</x:v>
      </x:c>
      <x:c r="H569" t="n">
        <x:f>--AND(F569=1,D569='Calculator'!$B$4)</x:f>
        <x:v>0</x:v>
      </x:c>
      <x:c r="I569" t="n">
        <x:f>--AND(H569=1,G569=1)</x:f>
        <x:v>0</x:v>
      </x:c>
      <x:c r="J569" t="n">
        <x:f>--AND(F569=1,E569='Calculator'!$B$4)</x:f>
        <x:v>0</x:v>
      </x:c>
      <x:c r="K569" t="n">
        <x:f>--AND(J569=1,G569=1)</x:f>
        <x:v>0</x:v>
      </x:c>
      <x:c r="L569" t="str">
        <x:f>A569&amp;"/"&amp;B569&amp;"/"&amp;C569</x:f>
        <x:v>11/12/13</x:v>
      </x:c>
      <x:c r="M569" t="str">
        <x:f>MIN(15,A569+'Calculator'!$B$6)&amp;"/"&amp;MIN(15,B569+'Calculator'!$B$6)&amp;"/"&amp;MIN(15,C569+'Calculator'!$B$6)</x:f>
        <x:v>13/14/15</x:v>
      </x:c>
    </x:row>
    <x:row r="570">
      <x:c r="A570" t="n">
        <x:v>11</x:v>
      </x:c>
      <x:c r="B570" t="n">
        <x:v>12</x:v>
      </x:c>
      <x:c r="C570" t="n">
        <x:v>14</x:v>
      </x:c>
      <x:c r="D570" t="n">
        <x:f>MAX(10,ROUNDDOWN((('Calculator'!$B$10+A570)*SQRT('Calculator'!$B$11+B570)*SQRT('Calculator'!$B$12+C570)*0.59740001^2)/10,0))</x:f>
        <x:v>2334</x:v>
      </x:c>
      <x:c r="E570" t="n">
        <x:f>MAX(10,ROUNDDOWN((('Calculator'!$B$10+A570)*SQRT('Calculator'!$B$11+B570)*SQRT('Calculator'!$B$12+C570)*0.667934^2)/10,0))</x:f>
        <x:v>2918</x:v>
      </x:c>
      <x:c r="F570" t="n">
        <x:f>--AND(A570&gt;='Calculator'!$B$5,B570&gt;='Calculator'!$B$5,C570&gt;='Calculator'!$B$5)</x:f>
        <x:v>1</x:v>
      </x:c>
      <x:c r="G570" t="n">
        <x:f>--AND(A570+'Calculator'!$B$6&gt;=15,B570+'Calculator'!$B$6&gt;=15,C570+'Calculator'!$B$6&gt;=15)</x:f>
        <x:v>0</x:v>
      </x:c>
      <x:c r="H570" t="n">
        <x:f>--AND(F570=1,D570='Calculator'!$B$4)</x:f>
        <x:v>0</x:v>
      </x:c>
      <x:c r="I570" t="n">
        <x:f>--AND(H570=1,G570=1)</x:f>
        <x:v>0</x:v>
      </x:c>
      <x:c r="J570" t="n">
        <x:f>--AND(F570=1,E570='Calculator'!$B$4)</x:f>
        <x:v>0</x:v>
      </x:c>
      <x:c r="K570" t="n">
        <x:f>--AND(J570=1,G570=1)</x:f>
        <x:v>0</x:v>
      </x:c>
      <x:c r="L570" t="str">
        <x:f>A570&amp;"/"&amp;B570&amp;"/"&amp;C570</x:f>
        <x:v>11/12/14</x:v>
      </x:c>
      <x:c r="M570" t="str">
        <x:f>MIN(15,A570+'Calculator'!$B$6)&amp;"/"&amp;MIN(15,B570+'Calculator'!$B$6)&amp;"/"&amp;MIN(15,C570+'Calculator'!$B$6)</x:f>
        <x:v>13/14/15</x:v>
      </x:c>
    </x:row>
    <x:row r="571">
      <x:c r="A571" t="n">
        <x:v>11</x:v>
      </x:c>
      <x:c r="B571" t="n">
        <x:v>12</x:v>
      </x:c>
      <x:c r="C571" t="n">
        <x:v>15</x:v>
      </x:c>
      <x:c r="D571" t="n">
        <x:f>MAX(10,ROUNDDOWN((('Calculator'!$B$10+A571)*SQRT('Calculator'!$B$11+B571)*SQRT('Calculator'!$B$12+C571)*0.59740001^2)/10,0))</x:f>
        <x:v>2339</x:v>
      </x:c>
      <x:c r="E571" t="n">
        <x:f>MAX(10,ROUNDDOWN((('Calculator'!$B$10+A571)*SQRT('Calculator'!$B$11+B571)*SQRT('Calculator'!$B$12+C571)*0.667934^2)/10,0))</x:f>
        <x:v>2924</x:v>
      </x:c>
      <x:c r="F571" t="n">
        <x:f>--AND(A571&gt;='Calculator'!$B$5,B571&gt;='Calculator'!$B$5,C571&gt;='Calculator'!$B$5)</x:f>
        <x:v>1</x:v>
      </x:c>
      <x:c r="G571" t="n">
        <x:f>--AND(A571+'Calculator'!$B$6&gt;=15,B571+'Calculator'!$B$6&gt;=15,C571+'Calculator'!$B$6&gt;=15)</x:f>
        <x:v>0</x:v>
      </x:c>
      <x:c r="H571" t="n">
        <x:f>--AND(F571=1,D571='Calculator'!$B$4)</x:f>
        <x:v>0</x:v>
      </x:c>
      <x:c r="I571" t="n">
        <x:f>--AND(H571=1,G571=1)</x:f>
        <x:v>0</x:v>
      </x:c>
      <x:c r="J571" t="n">
        <x:f>--AND(F571=1,E571='Calculator'!$B$4)</x:f>
        <x:v>0</x:v>
      </x:c>
      <x:c r="K571" t="n">
        <x:f>--AND(J571=1,G571=1)</x:f>
        <x:v>0</x:v>
      </x:c>
      <x:c r="L571" t="str">
        <x:f>A571&amp;"/"&amp;B571&amp;"/"&amp;C571</x:f>
        <x:v>11/12/15</x:v>
      </x:c>
      <x:c r="M571" t="str">
        <x:f>MIN(15,A571+'Calculator'!$B$6)&amp;"/"&amp;MIN(15,B571+'Calculator'!$B$6)&amp;"/"&amp;MIN(15,C571+'Calculator'!$B$6)</x:f>
        <x:v>13/14/15</x:v>
      </x:c>
    </x:row>
    <x:row r="572">
      <x:c r="A572" t="n">
        <x:v>11</x:v>
      </x:c>
      <x:c r="B572" t="n">
        <x:v>13</x:v>
      </x:c>
      <x:c r="C572" t="n">
        <x:v>6</x:v>
      </x:c>
      <x:c r="D572" t="n">
        <x:f>MAX(10,ROUNDDOWN((('Calculator'!$B$10+A572)*SQRT('Calculator'!$B$11+B572)*SQRT('Calculator'!$B$12+C572)*0.59740001^2)/10,0))</x:f>
        <x:v>2298</x:v>
      </x:c>
      <x:c r="E572" t="n">
        <x:f>MAX(10,ROUNDDOWN((('Calculator'!$B$10+A572)*SQRT('Calculator'!$B$11+B572)*SQRT('Calculator'!$B$12+C572)*0.667934^2)/10,0))</x:f>
        <x:v>2873</x:v>
      </x:c>
      <x:c r="F572" t="n">
        <x:f>--AND(A572&gt;='Calculator'!$B$5,B572&gt;='Calculator'!$B$5,C572&gt;='Calculator'!$B$5)</x:f>
        <x:v>1</x:v>
      </x:c>
      <x:c r="G572" t="n">
        <x:f>--AND(A572+'Calculator'!$B$6&gt;=15,B572+'Calculator'!$B$6&gt;=15,C572+'Calculator'!$B$6&gt;=15)</x:f>
        <x:v>0</x:v>
      </x:c>
      <x:c r="H572" t="n">
        <x:f>--AND(F572=1,D572='Calculator'!$B$4)</x:f>
        <x:v>0</x:v>
      </x:c>
      <x:c r="I572" t="n">
        <x:f>--AND(H572=1,G572=1)</x:f>
        <x:v>0</x:v>
      </x:c>
      <x:c r="J572" t="n">
        <x:f>--AND(F572=1,E572='Calculator'!$B$4)</x:f>
        <x:v>0</x:v>
      </x:c>
      <x:c r="K572" t="n">
        <x:f>--AND(J572=1,G572=1)</x:f>
        <x:v>0</x:v>
      </x:c>
      <x:c r="L572" t="str">
        <x:f>A572&amp;"/"&amp;B572&amp;"/"&amp;C572</x:f>
        <x:v>11/13/6</x:v>
      </x:c>
      <x:c r="M572" t="str">
        <x:f>MIN(15,A572+'Calculator'!$B$6)&amp;"/"&amp;MIN(15,B572+'Calculator'!$B$6)&amp;"/"&amp;MIN(15,C572+'Calculator'!$B$6)</x:f>
        <x:v>13/15/8</x:v>
      </x:c>
    </x:row>
    <x:row r="573">
      <x:c r="A573" t="n">
        <x:v>11</x:v>
      </x:c>
      <x:c r="B573" t="n">
        <x:v>13</x:v>
      </x:c>
      <x:c r="C573" t="n">
        <x:v>7</x:v>
      </x:c>
      <x:c r="D573" t="n">
        <x:f>MAX(10,ROUNDDOWN((('Calculator'!$B$10+A573)*SQRT('Calculator'!$B$11+B573)*SQRT('Calculator'!$B$12+C573)*0.59740001^2)/10,0))</x:f>
        <x:v>2304</x:v>
      </x:c>
      <x:c r="E573" t="n">
        <x:f>MAX(10,ROUNDDOWN((('Calculator'!$B$10+A573)*SQRT('Calculator'!$B$11+B573)*SQRT('Calculator'!$B$12+C573)*0.667934^2)/10,0))</x:f>
        <x:v>2880</x:v>
      </x:c>
      <x:c r="F573" t="n">
        <x:f>--AND(A573&gt;='Calculator'!$B$5,B573&gt;='Calculator'!$B$5,C573&gt;='Calculator'!$B$5)</x:f>
        <x:v>1</x:v>
      </x:c>
      <x:c r="G573" t="n">
        <x:f>--AND(A573+'Calculator'!$B$6&gt;=15,B573+'Calculator'!$B$6&gt;=15,C573+'Calculator'!$B$6&gt;=15)</x:f>
        <x:v>0</x:v>
      </x:c>
      <x:c r="H573" t="n">
        <x:f>--AND(F573=1,D573='Calculator'!$B$4)</x:f>
        <x:v>0</x:v>
      </x:c>
      <x:c r="I573" t="n">
        <x:f>--AND(H573=1,G573=1)</x:f>
        <x:v>0</x:v>
      </x:c>
      <x:c r="J573" t="n">
        <x:f>--AND(F573=1,E573='Calculator'!$B$4)</x:f>
        <x:v>0</x:v>
      </x:c>
      <x:c r="K573" t="n">
        <x:f>--AND(J573=1,G573=1)</x:f>
        <x:v>0</x:v>
      </x:c>
      <x:c r="L573" t="str">
        <x:f>A573&amp;"/"&amp;B573&amp;"/"&amp;C573</x:f>
        <x:v>11/13/7</x:v>
      </x:c>
      <x:c r="M573" t="str">
        <x:f>MIN(15,A573+'Calculator'!$B$6)&amp;"/"&amp;MIN(15,B573+'Calculator'!$B$6)&amp;"/"&amp;MIN(15,C573+'Calculator'!$B$6)</x:f>
        <x:v>13/15/9</x:v>
      </x:c>
    </x:row>
    <x:row r="574">
      <x:c r="A574" t="n">
        <x:v>11</x:v>
      </x:c>
      <x:c r="B574" t="n">
        <x:v>13</x:v>
      </x:c>
      <x:c r="C574" t="n">
        <x:v>8</x:v>
      </x:c>
      <x:c r="D574" t="n">
        <x:f>MAX(10,ROUNDDOWN((('Calculator'!$B$10+A574)*SQRT('Calculator'!$B$11+B574)*SQRT('Calculator'!$B$12+C574)*0.59740001^2)/10,0))</x:f>
        <x:v>2309</x:v>
      </x:c>
      <x:c r="E574" t="n">
        <x:f>MAX(10,ROUNDDOWN((('Calculator'!$B$10+A574)*SQRT('Calculator'!$B$11+B574)*SQRT('Calculator'!$B$12+C574)*0.667934^2)/10,0))</x:f>
        <x:v>2886</x:v>
      </x:c>
      <x:c r="F574" t="n">
        <x:f>--AND(A574&gt;='Calculator'!$B$5,B574&gt;='Calculator'!$B$5,C574&gt;='Calculator'!$B$5)</x:f>
        <x:v>1</x:v>
      </x:c>
      <x:c r="G574" t="n">
        <x:f>--AND(A574+'Calculator'!$B$6&gt;=15,B574+'Calculator'!$B$6&gt;=15,C574+'Calculator'!$B$6&gt;=15)</x:f>
        <x:v>0</x:v>
      </x:c>
      <x:c r="H574" t="n">
        <x:f>--AND(F574=1,D574='Calculator'!$B$4)</x:f>
        <x:v>0</x:v>
      </x:c>
      <x:c r="I574" t="n">
        <x:f>--AND(H574=1,G574=1)</x:f>
        <x:v>0</x:v>
      </x:c>
      <x:c r="J574" t="n">
        <x:f>--AND(F574=1,E574='Calculator'!$B$4)</x:f>
        <x:v>0</x:v>
      </x:c>
      <x:c r="K574" t="n">
        <x:f>--AND(J574=1,G574=1)</x:f>
        <x:v>0</x:v>
      </x:c>
      <x:c r="L574" t="str">
        <x:f>A574&amp;"/"&amp;B574&amp;"/"&amp;C574</x:f>
        <x:v>11/13/8</x:v>
      </x:c>
      <x:c r="M574" t="str">
        <x:f>MIN(15,A574+'Calculator'!$B$6)&amp;"/"&amp;MIN(15,B574+'Calculator'!$B$6)&amp;"/"&amp;MIN(15,C574+'Calculator'!$B$6)</x:f>
        <x:v>13/15/10</x:v>
      </x:c>
    </x:row>
    <x:row r="575">
      <x:c r="A575" t="n">
        <x:v>11</x:v>
      </x:c>
      <x:c r="B575" t="n">
        <x:v>13</x:v>
      </x:c>
      <x:c r="C575" t="n">
        <x:v>9</x:v>
      </x:c>
      <x:c r="D575" t="n">
        <x:f>MAX(10,ROUNDDOWN((('Calculator'!$B$10+A575)*SQRT('Calculator'!$B$11+B575)*SQRT('Calculator'!$B$12+C575)*0.59740001^2)/10,0))</x:f>
        <x:v>2314</x:v>
      </x:c>
      <x:c r="E575" t="n">
        <x:f>MAX(10,ROUNDDOWN((('Calculator'!$B$10+A575)*SQRT('Calculator'!$B$11+B575)*SQRT('Calculator'!$B$12+C575)*0.667934^2)/10,0))</x:f>
        <x:v>2893</x:v>
      </x:c>
      <x:c r="F575" t="n">
        <x:f>--AND(A575&gt;='Calculator'!$B$5,B575&gt;='Calculator'!$B$5,C575&gt;='Calculator'!$B$5)</x:f>
        <x:v>1</x:v>
      </x:c>
      <x:c r="G575" t="n">
        <x:f>--AND(A575+'Calculator'!$B$6&gt;=15,B575+'Calculator'!$B$6&gt;=15,C575+'Calculator'!$B$6&gt;=15)</x:f>
        <x:v>0</x:v>
      </x:c>
      <x:c r="H575" t="n">
        <x:f>--AND(F575=1,D575='Calculator'!$B$4)</x:f>
        <x:v>0</x:v>
      </x:c>
      <x:c r="I575" t="n">
        <x:f>--AND(H575=1,G575=1)</x:f>
        <x:v>0</x:v>
      </x:c>
      <x:c r="J575" t="n">
        <x:f>--AND(F575=1,E575='Calculator'!$B$4)</x:f>
        <x:v>0</x:v>
      </x:c>
      <x:c r="K575" t="n">
        <x:f>--AND(J575=1,G575=1)</x:f>
        <x:v>0</x:v>
      </x:c>
      <x:c r="L575" t="str">
        <x:f>A575&amp;"/"&amp;B575&amp;"/"&amp;C575</x:f>
        <x:v>11/13/9</x:v>
      </x:c>
      <x:c r="M575" t="str">
        <x:f>MIN(15,A575+'Calculator'!$B$6)&amp;"/"&amp;MIN(15,B575+'Calculator'!$B$6)&amp;"/"&amp;MIN(15,C575+'Calculator'!$B$6)</x:f>
        <x:v>13/15/11</x:v>
      </x:c>
    </x:row>
    <x:row r="576">
      <x:c r="A576" t="n">
        <x:v>11</x:v>
      </x:c>
      <x:c r="B576" t="n">
        <x:v>13</x:v>
      </x:c>
      <x:c r="C576" t="n">
        <x:v>10</x:v>
      </x:c>
      <x:c r="D576" t="n">
        <x:f>MAX(10,ROUNDDOWN((('Calculator'!$B$10+A576)*SQRT('Calculator'!$B$11+B576)*SQRT('Calculator'!$B$12+C576)*0.59740001^2)/10,0))</x:f>
        <x:v>2319</x:v>
      </x:c>
      <x:c r="E576" t="n">
        <x:f>MAX(10,ROUNDDOWN((('Calculator'!$B$10+A576)*SQRT('Calculator'!$B$11+B576)*SQRT('Calculator'!$B$12+C576)*0.667934^2)/10,0))</x:f>
        <x:v>2899</x:v>
      </x:c>
      <x:c r="F576" t="n">
        <x:f>--AND(A576&gt;='Calculator'!$B$5,B576&gt;='Calculator'!$B$5,C576&gt;='Calculator'!$B$5)</x:f>
        <x:v>1</x:v>
      </x:c>
      <x:c r="G576" t="n">
        <x:f>--AND(A576+'Calculator'!$B$6&gt;=15,B576+'Calculator'!$B$6&gt;=15,C576+'Calculator'!$B$6&gt;=15)</x:f>
        <x:v>0</x:v>
      </x:c>
      <x:c r="H576" t="n">
        <x:f>--AND(F576=1,D576='Calculator'!$B$4)</x:f>
        <x:v>0</x:v>
      </x:c>
      <x:c r="I576" t="n">
        <x:f>--AND(H576=1,G576=1)</x:f>
        <x:v>0</x:v>
      </x:c>
      <x:c r="J576" t="n">
        <x:f>--AND(F576=1,E576='Calculator'!$B$4)</x:f>
        <x:v>0</x:v>
      </x:c>
      <x:c r="K576" t="n">
        <x:f>--AND(J576=1,G576=1)</x:f>
        <x:v>0</x:v>
      </x:c>
      <x:c r="L576" t="str">
        <x:f>A576&amp;"/"&amp;B576&amp;"/"&amp;C576</x:f>
        <x:v>11/13/10</x:v>
      </x:c>
      <x:c r="M576" t="str">
        <x:f>MIN(15,A576+'Calculator'!$B$6)&amp;"/"&amp;MIN(15,B576+'Calculator'!$B$6)&amp;"/"&amp;MIN(15,C576+'Calculator'!$B$6)</x:f>
        <x:v>13/15/12</x:v>
      </x:c>
    </x:row>
    <x:row r="577">
      <x:c r="A577" t="n">
        <x:v>11</x:v>
      </x:c>
      <x:c r="B577" t="n">
        <x:v>13</x:v>
      </x:c>
      <x:c r="C577" t="n">
        <x:v>11</x:v>
      </x:c>
      <x:c r="D577" t="n">
        <x:f>MAX(10,ROUNDDOWN((('Calculator'!$B$10+A577)*SQRT('Calculator'!$B$11+B577)*SQRT('Calculator'!$B$12+C577)*0.59740001^2)/10,0))</x:f>
        <x:v>2324</x:v>
      </x:c>
      <x:c r="E577" t="n">
        <x:f>MAX(10,ROUNDDOWN((('Calculator'!$B$10+A577)*SQRT('Calculator'!$B$11+B577)*SQRT('Calculator'!$B$12+C577)*0.667934^2)/10,0))</x:f>
        <x:v>2906</x:v>
      </x:c>
      <x:c r="F577" t="n">
        <x:f>--AND(A577&gt;='Calculator'!$B$5,B577&gt;='Calculator'!$B$5,C577&gt;='Calculator'!$B$5)</x:f>
        <x:v>1</x:v>
      </x:c>
      <x:c r="G577" t="n">
        <x:f>--AND(A577+'Calculator'!$B$6&gt;=15,B577+'Calculator'!$B$6&gt;=15,C577+'Calculator'!$B$6&gt;=15)</x:f>
        <x:v>0</x:v>
      </x:c>
      <x:c r="H577" t="n">
        <x:f>--AND(F577=1,D577='Calculator'!$B$4)</x:f>
        <x:v>0</x:v>
      </x:c>
      <x:c r="I577" t="n">
        <x:f>--AND(H577=1,G577=1)</x:f>
        <x:v>0</x:v>
      </x:c>
      <x:c r="J577" t="n">
        <x:f>--AND(F577=1,E577='Calculator'!$B$4)</x:f>
        <x:v>0</x:v>
      </x:c>
      <x:c r="K577" t="n">
        <x:f>--AND(J577=1,G577=1)</x:f>
        <x:v>0</x:v>
      </x:c>
      <x:c r="L577" t="str">
        <x:f>A577&amp;"/"&amp;B577&amp;"/"&amp;C577</x:f>
        <x:v>11/13/11</x:v>
      </x:c>
      <x:c r="M577" t="str">
        <x:f>MIN(15,A577+'Calculator'!$B$6)&amp;"/"&amp;MIN(15,B577+'Calculator'!$B$6)&amp;"/"&amp;MIN(15,C577+'Calculator'!$B$6)</x:f>
        <x:v>13/15/13</x:v>
      </x:c>
    </x:row>
    <x:row r="578">
      <x:c r="A578" t="n">
        <x:v>11</x:v>
      </x:c>
      <x:c r="B578" t="n">
        <x:v>13</x:v>
      </x:c>
      <x:c r="C578" t="n">
        <x:v>12</x:v>
      </x:c>
      <x:c r="D578" t="n">
        <x:f>MAX(10,ROUNDDOWN((('Calculator'!$B$10+A578)*SQRT('Calculator'!$B$11+B578)*SQRT('Calculator'!$B$12+C578)*0.59740001^2)/10,0))</x:f>
        <x:v>2330</x:v>
      </x:c>
      <x:c r="E578" t="n">
        <x:f>MAX(10,ROUNDDOWN((('Calculator'!$B$10+A578)*SQRT('Calculator'!$B$11+B578)*SQRT('Calculator'!$B$12+C578)*0.667934^2)/10,0))</x:f>
        <x:v>2912</x:v>
      </x:c>
      <x:c r="F578" t="n">
        <x:f>--AND(A578&gt;='Calculator'!$B$5,B578&gt;='Calculator'!$B$5,C578&gt;='Calculator'!$B$5)</x:f>
        <x:v>1</x:v>
      </x:c>
      <x:c r="G578" t="n">
        <x:f>--AND(A578+'Calculator'!$B$6&gt;=15,B578+'Calculator'!$B$6&gt;=15,C578+'Calculator'!$B$6&gt;=15)</x:f>
        <x:v>0</x:v>
      </x:c>
      <x:c r="H578" t="n">
        <x:f>--AND(F578=1,D578='Calculator'!$B$4)</x:f>
        <x:v>0</x:v>
      </x:c>
      <x:c r="I578" t="n">
        <x:f>--AND(H578=1,G578=1)</x:f>
        <x:v>0</x:v>
      </x:c>
      <x:c r="J578" t="n">
        <x:f>--AND(F578=1,E578='Calculator'!$B$4)</x:f>
        <x:v>0</x:v>
      </x:c>
      <x:c r="K578" t="n">
        <x:f>--AND(J578=1,G578=1)</x:f>
        <x:v>0</x:v>
      </x:c>
      <x:c r="L578" t="str">
        <x:f>A578&amp;"/"&amp;B578&amp;"/"&amp;C578</x:f>
        <x:v>11/13/12</x:v>
      </x:c>
      <x:c r="M578" t="str">
        <x:f>MIN(15,A578+'Calculator'!$B$6)&amp;"/"&amp;MIN(15,B578+'Calculator'!$B$6)&amp;"/"&amp;MIN(15,C578+'Calculator'!$B$6)</x:f>
        <x:v>13/15/14</x:v>
      </x:c>
    </x:row>
    <x:row r="579">
      <x:c r="A579" t="n">
        <x:v>11</x:v>
      </x:c>
      <x:c r="B579" t="n">
        <x:v>13</x:v>
      </x:c>
      <x:c r="C579" t="n">
        <x:v>13</x:v>
      </x:c>
      <x:c r="D579" t="n">
        <x:f>MAX(10,ROUNDDOWN((('Calculator'!$B$10+A579)*SQRT('Calculator'!$B$11+B579)*SQRT('Calculator'!$B$12+C579)*0.59740001^2)/10,0))</x:f>
        <x:v>2335</x:v>
      </x:c>
      <x:c r="E579" t="n">
        <x:f>MAX(10,ROUNDDOWN((('Calculator'!$B$10+A579)*SQRT('Calculator'!$B$11+B579)*SQRT('Calculator'!$B$12+C579)*0.667934^2)/10,0))</x:f>
        <x:v>2919</x:v>
      </x:c>
      <x:c r="F579" t="n">
        <x:f>--AND(A579&gt;='Calculator'!$B$5,B579&gt;='Calculator'!$B$5,C579&gt;='Calculator'!$B$5)</x:f>
        <x:v>1</x:v>
      </x:c>
      <x:c r="G579" t="n">
        <x:f>--AND(A579+'Calculator'!$B$6&gt;=15,B579+'Calculator'!$B$6&gt;=15,C579+'Calculator'!$B$6&gt;=15)</x:f>
        <x:v>0</x:v>
      </x:c>
      <x:c r="H579" t="n">
        <x:f>--AND(F579=1,D579='Calculator'!$B$4)</x:f>
        <x:v>0</x:v>
      </x:c>
      <x:c r="I579" t="n">
        <x:f>--AND(H579=1,G579=1)</x:f>
        <x:v>0</x:v>
      </x:c>
      <x:c r="J579" t="n">
        <x:f>--AND(F579=1,E579='Calculator'!$B$4)</x:f>
        <x:v>0</x:v>
      </x:c>
      <x:c r="K579" t="n">
        <x:f>--AND(J579=1,G579=1)</x:f>
        <x:v>0</x:v>
      </x:c>
      <x:c r="L579" t="str">
        <x:f>A579&amp;"/"&amp;B579&amp;"/"&amp;C579</x:f>
        <x:v>11/13/13</x:v>
      </x:c>
      <x:c r="M579" t="str">
        <x:f>MIN(15,A579+'Calculator'!$B$6)&amp;"/"&amp;MIN(15,B579+'Calculator'!$B$6)&amp;"/"&amp;MIN(15,C579+'Calculator'!$B$6)</x:f>
        <x:v>13/15/15</x:v>
      </x:c>
    </x:row>
    <x:row r="580">
      <x:c r="A580" t="n">
        <x:v>11</x:v>
      </x:c>
      <x:c r="B580" t="n">
        <x:v>13</x:v>
      </x:c>
      <x:c r="C580" t="n">
        <x:v>14</x:v>
      </x:c>
      <x:c r="D580" t="n">
        <x:f>MAX(10,ROUNDDOWN((('Calculator'!$B$10+A580)*SQRT('Calculator'!$B$11+B580)*SQRT('Calculator'!$B$12+C580)*0.59740001^2)/10,0))</x:f>
        <x:v>2340</x:v>
      </x:c>
      <x:c r="E580" t="n">
        <x:f>MAX(10,ROUNDDOWN((('Calculator'!$B$10+A580)*SQRT('Calculator'!$B$11+B580)*SQRT('Calculator'!$B$12+C580)*0.667934^2)/10,0))</x:f>
        <x:v>2925</x:v>
      </x:c>
      <x:c r="F580" t="n">
        <x:f>--AND(A580&gt;='Calculator'!$B$5,B580&gt;='Calculator'!$B$5,C580&gt;='Calculator'!$B$5)</x:f>
        <x:v>1</x:v>
      </x:c>
      <x:c r="G580" t="n">
        <x:f>--AND(A580+'Calculator'!$B$6&gt;=15,B580+'Calculator'!$B$6&gt;=15,C580+'Calculator'!$B$6&gt;=15)</x:f>
        <x:v>0</x:v>
      </x:c>
      <x:c r="H580" t="n">
        <x:f>--AND(F580=1,D580='Calculator'!$B$4)</x:f>
        <x:v>0</x:v>
      </x:c>
      <x:c r="I580" t="n">
        <x:f>--AND(H580=1,G580=1)</x:f>
        <x:v>0</x:v>
      </x:c>
      <x:c r="J580" t="n">
        <x:f>--AND(F580=1,E580='Calculator'!$B$4)</x:f>
        <x:v>0</x:v>
      </x:c>
      <x:c r="K580" t="n">
        <x:f>--AND(J580=1,G580=1)</x:f>
        <x:v>0</x:v>
      </x:c>
      <x:c r="L580" t="str">
        <x:f>A580&amp;"/"&amp;B580&amp;"/"&amp;C580</x:f>
        <x:v>11/13/14</x:v>
      </x:c>
      <x:c r="M580" t="str">
        <x:f>MIN(15,A580+'Calculator'!$B$6)&amp;"/"&amp;MIN(15,B580+'Calculator'!$B$6)&amp;"/"&amp;MIN(15,C580+'Calculator'!$B$6)</x:f>
        <x:v>13/15/15</x:v>
      </x:c>
    </x:row>
    <x:row r="581">
      <x:c r="A581" t="n">
        <x:v>11</x:v>
      </x:c>
      <x:c r="B581" t="n">
        <x:v>13</x:v>
      </x:c>
      <x:c r="C581" t="n">
        <x:v>15</x:v>
      </x:c>
      <x:c r="D581" t="n">
        <x:f>MAX(10,ROUNDDOWN((('Calculator'!$B$10+A581)*SQRT('Calculator'!$B$11+B581)*SQRT('Calculator'!$B$12+C581)*0.59740001^2)/10,0))</x:f>
        <x:v>2345</x:v>
      </x:c>
      <x:c r="E581" t="n">
        <x:f>MAX(10,ROUNDDOWN((('Calculator'!$B$10+A581)*SQRT('Calculator'!$B$11+B581)*SQRT('Calculator'!$B$12+C581)*0.667934^2)/10,0))</x:f>
        <x:v>2931</x:v>
      </x:c>
      <x:c r="F581" t="n">
        <x:f>--AND(A581&gt;='Calculator'!$B$5,B581&gt;='Calculator'!$B$5,C581&gt;='Calculator'!$B$5)</x:f>
        <x:v>1</x:v>
      </x:c>
      <x:c r="G581" t="n">
        <x:f>--AND(A581+'Calculator'!$B$6&gt;=15,B581+'Calculator'!$B$6&gt;=15,C581+'Calculator'!$B$6&gt;=15)</x:f>
        <x:v>0</x:v>
      </x:c>
      <x:c r="H581" t="n">
        <x:f>--AND(F581=1,D581='Calculator'!$B$4)</x:f>
        <x:v>0</x:v>
      </x:c>
      <x:c r="I581" t="n">
        <x:f>--AND(H581=1,G581=1)</x:f>
        <x:v>0</x:v>
      </x:c>
      <x:c r="J581" t="n">
        <x:f>--AND(F581=1,E581='Calculator'!$B$4)</x:f>
        <x:v>0</x:v>
      </x:c>
      <x:c r="K581" t="n">
        <x:f>--AND(J581=1,G581=1)</x:f>
        <x:v>0</x:v>
      </x:c>
      <x:c r="L581" t="str">
        <x:f>A581&amp;"/"&amp;B581&amp;"/"&amp;C581</x:f>
        <x:v>11/13/15</x:v>
      </x:c>
      <x:c r="M581" t="str">
        <x:f>MIN(15,A581+'Calculator'!$B$6)&amp;"/"&amp;MIN(15,B581+'Calculator'!$B$6)&amp;"/"&amp;MIN(15,C581+'Calculator'!$B$6)</x:f>
        <x:v>13/15/15</x:v>
      </x:c>
    </x:row>
    <x:row r="582">
      <x:c r="A582" t="n">
        <x:v>11</x:v>
      </x:c>
      <x:c r="B582" t="n">
        <x:v>14</x:v>
      </x:c>
      <x:c r="C582" t="n">
        <x:v>6</x:v>
      </x:c>
      <x:c r="D582" t="n">
        <x:f>MAX(10,ROUNDDOWN((('Calculator'!$B$10+A582)*SQRT('Calculator'!$B$11+B582)*SQRT('Calculator'!$B$12+C582)*0.59740001^2)/10,0))</x:f>
        <x:v>2304</x:v>
      </x:c>
      <x:c r="E582" t="n">
        <x:f>MAX(10,ROUNDDOWN((('Calculator'!$B$10+A582)*SQRT('Calculator'!$B$11+B582)*SQRT('Calculator'!$B$12+C582)*0.667934^2)/10,0))</x:f>
        <x:v>2881</x:v>
      </x:c>
      <x:c r="F582" t="n">
        <x:f>--AND(A582&gt;='Calculator'!$B$5,B582&gt;='Calculator'!$B$5,C582&gt;='Calculator'!$B$5)</x:f>
        <x:v>1</x:v>
      </x:c>
      <x:c r="G582" t="n">
        <x:f>--AND(A582+'Calculator'!$B$6&gt;=15,B582+'Calculator'!$B$6&gt;=15,C582+'Calculator'!$B$6&gt;=15)</x:f>
        <x:v>0</x:v>
      </x:c>
      <x:c r="H582" t="n">
        <x:f>--AND(F582=1,D582='Calculator'!$B$4)</x:f>
        <x:v>0</x:v>
      </x:c>
      <x:c r="I582" t="n">
        <x:f>--AND(H582=1,G582=1)</x:f>
        <x:v>0</x:v>
      </x:c>
      <x:c r="J582" t="n">
        <x:f>--AND(F582=1,E582='Calculator'!$B$4)</x:f>
        <x:v>0</x:v>
      </x:c>
      <x:c r="K582" t="n">
        <x:f>--AND(J582=1,G582=1)</x:f>
        <x:v>0</x:v>
      </x:c>
      <x:c r="L582" t="str">
        <x:f>A582&amp;"/"&amp;B582&amp;"/"&amp;C582</x:f>
        <x:v>11/14/6</x:v>
      </x:c>
      <x:c r="M582" t="str">
        <x:f>MIN(15,A582+'Calculator'!$B$6)&amp;"/"&amp;MIN(15,B582+'Calculator'!$B$6)&amp;"/"&amp;MIN(15,C582+'Calculator'!$B$6)</x:f>
        <x:v>13/15/8</x:v>
      </x:c>
    </x:row>
    <x:row r="583">
      <x:c r="A583" t="n">
        <x:v>11</x:v>
      </x:c>
      <x:c r="B583" t="n">
        <x:v>14</x:v>
      </x:c>
      <x:c r="C583" t="n">
        <x:v>7</x:v>
      </x:c>
      <x:c r="D583" t="n">
        <x:f>MAX(10,ROUNDDOWN((('Calculator'!$B$10+A583)*SQRT('Calculator'!$B$11+B583)*SQRT('Calculator'!$B$12+C583)*0.59740001^2)/10,0))</x:f>
        <x:v>2310</x:v>
      </x:c>
      <x:c r="E583" t="n">
        <x:f>MAX(10,ROUNDDOWN((('Calculator'!$B$10+A583)*SQRT('Calculator'!$B$11+B583)*SQRT('Calculator'!$B$12+C583)*0.667934^2)/10,0))</x:f>
        <x:v>2887</x:v>
      </x:c>
      <x:c r="F583" t="n">
        <x:f>--AND(A583&gt;='Calculator'!$B$5,B583&gt;='Calculator'!$B$5,C583&gt;='Calculator'!$B$5)</x:f>
        <x:v>1</x:v>
      </x:c>
      <x:c r="G583" t="n">
        <x:f>--AND(A583+'Calculator'!$B$6&gt;=15,B583+'Calculator'!$B$6&gt;=15,C583+'Calculator'!$B$6&gt;=15)</x:f>
        <x:v>0</x:v>
      </x:c>
      <x:c r="H583" t="n">
        <x:f>--AND(F583=1,D583='Calculator'!$B$4)</x:f>
        <x:v>0</x:v>
      </x:c>
      <x:c r="I583" t="n">
        <x:f>--AND(H583=1,G583=1)</x:f>
        <x:v>0</x:v>
      </x:c>
      <x:c r="J583" t="n">
        <x:f>--AND(F583=1,E583='Calculator'!$B$4)</x:f>
        <x:v>0</x:v>
      </x:c>
      <x:c r="K583" t="n">
        <x:f>--AND(J583=1,G583=1)</x:f>
        <x:v>0</x:v>
      </x:c>
      <x:c r="L583" t="str">
        <x:f>A583&amp;"/"&amp;B583&amp;"/"&amp;C583</x:f>
        <x:v>11/14/7</x:v>
      </x:c>
      <x:c r="M583" t="str">
        <x:f>MIN(15,A583+'Calculator'!$B$6)&amp;"/"&amp;MIN(15,B583+'Calculator'!$B$6)&amp;"/"&amp;MIN(15,C583+'Calculator'!$B$6)</x:f>
        <x:v>13/15/9</x:v>
      </x:c>
    </x:row>
    <x:row r="584">
      <x:c r="A584" t="n">
        <x:v>11</x:v>
      </x:c>
      <x:c r="B584" t="n">
        <x:v>14</x:v>
      </x:c>
      <x:c r="C584" t="n">
        <x:v>8</x:v>
      </x:c>
      <x:c r="D584" t="n">
        <x:f>MAX(10,ROUNDDOWN((('Calculator'!$B$10+A584)*SQRT('Calculator'!$B$11+B584)*SQRT('Calculator'!$B$12+C584)*0.59740001^2)/10,0))</x:f>
        <x:v>2315</x:v>
      </x:c>
      <x:c r="E584" t="n">
        <x:f>MAX(10,ROUNDDOWN((('Calculator'!$B$10+A584)*SQRT('Calculator'!$B$11+B584)*SQRT('Calculator'!$B$12+C584)*0.667934^2)/10,0))</x:f>
        <x:v>2894</x:v>
      </x:c>
      <x:c r="F584" t="n">
        <x:f>--AND(A584&gt;='Calculator'!$B$5,B584&gt;='Calculator'!$B$5,C584&gt;='Calculator'!$B$5)</x:f>
        <x:v>1</x:v>
      </x:c>
      <x:c r="G584" t="n">
        <x:f>--AND(A584+'Calculator'!$B$6&gt;=15,B584+'Calculator'!$B$6&gt;=15,C584+'Calculator'!$B$6&gt;=15)</x:f>
        <x:v>0</x:v>
      </x:c>
      <x:c r="H584" t="n">
        <x:f>--AND(F584=1,D584='Calculator'!$B$4)</x:f>
        <x:v>0</x:v>
      </x:c>
      <x:c r="I584" t="n">
        <x:f>--AND(H584=1,G584=1)</x:f>
        <x:v>0</x:v>
      </x:c>
      <x:c r="J584" t="n">
        <x:f>--AND(F584=1,E584='Calculator'!$B$4)</x:f>
        <x:v>0</x:v>
      </x:c>
      <x:c r="K584" t="n">
        <x:f>--AND(J584=1,G584=1)</x:f>
        <x:v>0</x:v>
      </x:c>
      <x:c r="L584" t="str">
        <x:f>A584&amp;"/"&amp;B584&amp;"/"&amp;C584</x:f>
        <x:v>11/14/8</x:v>
      </x:c>
      <x:c r="M584" t="str">
        <x:f>MIN(15,A584+'Calculator'!$B$6)&amp;"/"&amp;MIN(15,B584+'Calculator'!$B$6)&amp;"/"&amp;MIN(15,C584+'Calculator'!$B$6)</x:f>
        <x:v>13/15/10</x:v>
      </x:c>
    </x:row>
    <x:row r="585">
      <x:c r="A585" t="n">
        <x:v>11</x:v>
      </x:c>
      <x:c r="B585" t="n">
        <x:v>14</x:v>
      </x:c>
      <x:c r="C585" t="n">
        <x:v>9</x:v>
      </x:c>
      <x:c r="D585" t="n">
        <x:f>MAX(10,ROUNDDOWN((('Calculator'!$B$10+A585)*SQRT('Calculator'!$B$11+B585)*SQRT('Calculator'!$B$12+C585)*0.59740001^2)/10,0))</x:f>
        <x:v>2320</x:v>
      </x:c>
      <x:c r="E585" t="n">
        <x:f>MAX(10,ROUNDDOWN((('Calculator'!$B$10+A585)*SQRT('Calculator'!$B$11+B585)*SQRT('Calculator'!$B$12+C585)*0.667934^2)/10,0))</x:f>
        <x:v>2900</x:v>
      </x:c>
      <x:c r="F585" t="n">
        <x:f>--AND(A585&gt;='Calculator'!$B$5,B585&gt;='Calculator'!$B$5,C585&gt;='Calculator'!$B$5)</x:f>
        <x:v>1</x:v>
      </x:c>
      <x:c r="G585" t="n">
        <x:f>--AND(A585+'Calculator'!$B$6&gt;=15,B585+'Calculator'!$B$6&gt;=15,C585+'Calculator'!$B$6&gt;=15)</x:f>
        <x:v>0</x:v>
      </x:c>
      <x:c r="H585" t="n">
        <x:f>--AND(F585=1,D585='Calculator'!$B$4)</x:f>
        <x:v>0</x:v>
      </x:c>
      <x:c r="I585" t="n">
        <x:f>--AND(H585=1,G585=1)</x:f>
        <x:v>0</x:v>
      </x:c>
      <x:c r="J585" t="n">
        <x:f>--AND(F585=1,E585='Calculator'!$B$4)</x:f>
        <x:v>0</x:v>
      </x:c>
      <x:c r="K585" t="n">
        <x:f>--AND(J585=1,G585=1)</x:f>
        <x:v>0</x:v>
      </x:c>
      <x:c r="L585" t="str">
        <x:f>A585&amp;"/"&amp;B585&amp;"/"&amp;C585</x:f>
        <x:v>11/14/9</x:v>
      </x:c>
      <x:c r="M585" t="str">
        <x:f>MIN(15,A585+'Calculator'!$B$6)&amp;"/"&amp;MIN(15,B585+'Calculator'!$B$6)&amp;"/"&amp;MIN(15,C585+'Calculator'!$B$6)</x:f>
        <x:v>13/15/11</x:v>
      </x:c>
    </x:row>
    <x:row r="586">
      <x:c r="A586" t="n">
        <x:v>11</x:v>
      </x:c>
      <x:c r="B586" t="n">
        <x:v>14</x:v>
      </x:c>
      <x:c r="C586" t="n">
        <x:v>10</x:v>
      </x:c>
      <x:c r="D586" t="n">
        <x:f>MAX(10,ROUNDDOWN((('Calculator'!$B$10+A586)*SQRT('Calculator'!$B$11+B586)*SQRT('Calculator'!$B$12+C586)*0.59740001^2)/10,0))</x:f>
        <x:v>2325</x:v>
      </x:c>
      <x:c r="E586" t="n">
        <x:f>MAX(10,ROUNDDOWN((('Calculator'!$B$10+A586)*SQRT('Calculator'!$B$11+B586)*SQRT('Calculator'!$B$12+C586)*0.667934^2)/10,0))</x:f>
        <x:v>2907</x:v>
      </x:c>
      <x:c r="F586" t="n">
        <x:f>--AND(A586&gt;='Calculator'!$B$5,B586&gt;='Calculator'!$B$5,C586&gt;='Calculator'!$B$5)</x:f>
        <x:v>1</x:v>
      </x:c>
      <x:c r="G586" t="n">
        <x:f>--AND(A586+'Calculator'!$B$6&gt;=15,B586+'Calculator'!$B$6&gt;=15,C586+'Calculator'!$B$6&gt;=15)</x:f>
        <x:v>0</x:v>
      </x:c>
      <x:c r="H586" t="n">
        <x:f>--AND(F586=1,D586='Calculator'!$B$4)</x:f>
        <x:v>0</x:v>
      </x:c>
      <x:c r="I586" t="n">
        <x:f>--AND(H586=1,G586=1)</x:f>
        <x:v>0</x:v>
      </x:c>
      <x:c r="J586" t="n">
        <x:f>--AND(F586=1,E586='Calculator'!$B$4)</x:f>
        <x:v>0</x:v>
      </x:c>
      <x:c r="K586" t="n">
        <x:f>--AND(J586=1,G586=1)</x:f>
        <x:v>0</x:v>
      </x:c>
      <x:c r="L586" t="str">
        <x:f>A586&amp;"/"&amp;B586&amp;"/"&amp;C586</x:f>
        <x:v>11/14/10</x:v>
      </x:c>
      <x:c r="M586" t="str">
        <x:f>MIN(15,A586+'Calculator'!$B$6)&amp;"/"&amp;MIN(15,B586+'Calculator'!$B$6)&amp;"/"&amp;MIN(15,C586+'Calculator'!$B$6)</x:f>
        <x:v>13/15/12</x:v>
      </x:c>
    </x:row>
    <x:row r="587">
      <x:c r="A587" t="n">
        <x:v>11</x:v>
      </x:c>
      <x:c r="B587" t="n">
        <x:v>14</x:v>
      </x:c>
      <x:c r="C587" t="n">
        <x:v>11</x:v>
      </x:c>
      <x:c r="D587" t="n">
        <x:f>MAX(10,ROUNDDOWN((('Calculator'!$B$10+A587)*SQRT('Calculator'!$B$11+B587)*SQRT('Calculator'!$B$12+C587)*0.59740001^2)/10,0))</x:f>
        <x:v>2330</x:v>
      </x:c>
      <x:c r="E587" t="n">
        <x:f>MAX(10,ROUNDDOWN((('Calculator'!$B$10+A587)*SQRT('Calculator'!$B$11+B587)*SQRT('Calculator'!$B$12+C587)*0.667934^2)/10,0))</x:f>
        <x:v>2913</x:v>
      </x:c>
      <x:c r="F587" t="n">
        <x:f>--AND(A587&gt;='Calculator'!$B$5,B587&gt;='Calculator'!$B$5,C587&gt;='Calculator'!$B$5)</x:f>
        <x:v>1</x:v>
      </x:c>
      <x:c r="G587" t="n">
        <x:f>--AND(A587+'Calculator'!$B$6&gt;=15,B587+'Calculator'!$B$6&gt;=15,C587+'Calculator'!$B$6&gt;=15)</x:f>
        <x:v>0</x:v>
      </x:c>
      <x:c r="H587" t="n">
        <x:f>--AND(F587=1,D587='Calculator'!$B$4)</x:f>
        <x:v>0</x:v>
      </x:c>
      <x:c r="I587" t="n">
        <x:f>--AND(H587=1,G587=1)</x:f>
        <x:v>0</x:v>
      </x:c>
      <x:c r="J587" t="n">
        <x:f>--AND(F587=1,E587='Calculator'!$B$4)</x:f>
        <x:v>0</x:v>
      </x:c>
      <x:c r="K587" t="n">
        <x:f>--AND(J587=1,G587=1)</x:f>
        <x:v>0</x:v>
      </x:c>
      <x:c r="L587" t="str">
        <x:f>A587&amp;"/"&amp;B587&amp;"/"&amp;C587</x:f>
        <x:v>11/14/11</x:v>
      </x:c>
      <x:c r="M587" t="str">
        <x:f>MIN(15,A587+'Calculator'!$B$6)&amp;"/"&amp;MIN(15,B587+'Calculator'!$B$6)&amp;"/"&amp;MIN(15,C587+'Calculator'!$B$6)</x:f>
        <x:v>13/15/13</x:v>
      </x:c>
    </x:row>
    <x:row r="588">
      <x:c r="A588" t="n">
        <x:v>11</x:v>
      </x:c>
      <x:c r="B588" t="n">
        <x:v>14</x:v>
      </x:c>
      <x:c r="C588" t="n">
        <x:v>12</x:v>
      </x:c>
      <x:c r="D588" t="n">
        <x:f>MAX(10,ROUNDDOWN((('Calculator'!$B$10+A588)*SQRT('Calculator'!$B$11+B588)*SQRT('Calculator'!$B$12+C588)*0.59740001^2)/10,0))</x:f>
        <x:v>2336</x:v>
      </x:c>
      <x:c r="E588" t="n">
        <x:f>MAX(10,ROUNDDOWN((('Calculator'!$B$10+A588)*SQRT('Calculator'!$B$11+B588)*SQRT('Calculator'!$B$12+C588)*0.667934^2)/10,0))</x:f>
        <x:v>2920</x:v>
      </x:c>
      <x:c r="F588" t="n">
        <x:f>--AND(A588&gt;='Calculator'!$B$5,B588&gt;='Calculator'!$B$5,C588&gt;='Calculator'!$B$5)</x:f>
        <x:v>1</x:v>
      </x:c>
      <x:c r="G588" t="n">
        <x:f>--AND(A588+'Calculator'!$B$6&gt;=15,B588+'Calculator'!$B$6&gt;=15,C588+'Calculator'!$B$6&gt;=15)</x:f>
        <x:v>0</x:v>
      </x:c>
      <x:c r="H588" t="n">
        <x:f>--AND(F588=1,D588='Calculator'!$B$4)</x:f>
        <x:v>0</x:v>
      </x:c>
      <x:c r="I588" t="n">
        <x:f>--AND(H588=1,G588=1)</x:f>
        <x:v>0</x:v>
      </x:c>
      <x:c r="J588" t="n">
        <x:f>--AND(F588=1,E588='Calculator'!$B$4)</x:f>
        <x:v>0</x:v>
      </x:c>
      <x:c r="K588" t="n">
        <x:f>--AND(J588=1,G588=1)</x:f>
        <x:v>0</x:v>
      </x:c>
      <x:c r="L588" t="str">
        <x:f>A588&amp;"/"&amp;B588&amp;"/"&amp;C588</x:f>
        <x:v>11/14/12</x:v>
      </x:c>
      <x:c r="M588" t="str">
        <x:f>MIN(15,A588+'Calculator'!$B$6)&amp;"/"&amp;MIN(15,B588+'Calculator'!$B$6)&amp;"/"&amp;MIN(15,C588+'Calculator'!$B$6)</x:f>
        <x:v>13/15/14</x:v>
      </x:c>
    </x:row>
    <x:row r="589">
      <x:c r="A589" t="n">
        <x:v>11</x:v>
      </x:c>
      <x:c r="B589" t="n">
        <x:v>14</x:v>
      </x:c>
      <x:c r="C589" t="n">
        <x:v>13</x:v>
      </x:c>
      <x:c r="D589" t="n">
        <x:f>MAX(10,ROUNDDOWN((('Calculator'!$B$10+A589)*SQRT('Calculator'!$B$11+B589)*SQRT('Calculator'!$B$12+C589)*0.59740001^2)/10,0))</x:f>
        <x:v>2341</x:v>
      </x:c>
      <x:c r="E589" t="n">
        <x:f>MAX(10,ROUNDDOWN((('Calculator'!$B$10+A589)*SQRT('Calculator'!$B$11+B589)*SQRT('Calculator'!$B$12+C589)*0.667934^2)/10,0))</x:f>
        <x:v>2926</x:v>
      </x:c>
      <x:c r="F589" t="n">
        <x:f>--AND(A589&gt;='Calculator'!$B$5,B589&gt;='Calculator'!$B$5,C589&gt;='Calculator'!$B$5)</x:f>
        <x:v>1</x:v>
      </x:c>
      <x:c r="G589" t="n">
        <x:f>--AND(A589+'Calculator'!$B$6&gt;=15,B589+'Calculator'!$B$6&gt;=15,C589+'Calculator'!$B$6&gt;=15)</x:f>
        <x:v>0</x:v>
      </x:c>
      <x:c r="H589" t="n">
        <x:f>--AND(F589=1,D589='Calculator'!$B$4)</x:f>
        <x:v>0</x:v>
      </x:c>
      <x:c r="I589" t="n">
        <x:f>--AND(H589=1,G589=1)</x:f>
        <x:v>0</x:v>
      </x:c>
      <x:c r="J589" t="n">
        <x:f>--AND(F589=1,E589='Calculator'!$B$4)</x:f>
        <x:v>0</x:v>
      </x:c>
      <x:c r="K589" t="n">
        <x:f>--AND(J589=1,G589=1)</x:f>
        <x:v>0</x:v>
      </x:c>
      <x:c r="L589" t="str">
        <x:f>A589&amp;"/"&amp;B589&amp;"/"&amp;C589</x:f>
        <x:v>11/14/13</x:v>
      </x:c>
      <x:c r="M589" t="str">
        <x:f>MIN(15,A589+'Calculator'!$B$6)&amp;"/"&amp;MIN(15,B589+'Calculator'!$B$6)&amp;"/"&amp;MIN(15,C589+'Calculator'!$B$6)</x:f>
        <x:v>13/15/15</x:v>
      </x:c>
    </x:row>
    <x:row r="590">
      <x:c r="A590" t="n">
        <x:v>11</x:v>
      </x:c>
      <x:c r="B590" t="n">
        <x:v>14</x:v>
      </x:c>
      <x:c r="C590" t="n">
        <x:v>14</x:v>
      </x:c>
      <x:c r="D590" t="n">
        <x:f>MAX(10,ROUNDDOWN((('Calculator'!$B$10+A590)*SQRT('Calculator'!$B$11+B590)*SQRT('Calculator'!$B$12+C590)*0.59740001^2)/10,0))</x:f>
        <x:v>2346</x:v>
      </x:c>
      <x:c r="E590" t="n">
        <x:f>MAX(10,ROUNDDOWN((('Calculator'!$B$10+A590)*SQRT('Calculator'!$B$11+B590)*SQRT('Calculator'!$B$12+C590)*0.667934^2)/10,0))</x:f>
        <x:v>2933</x:v>
      </x:c>
      <x:c r="F590" t="n">
        <x:f>--AND(A590&gt;='Calculator'!$B$5,B590&gt;='Calculator'!$B$5,C590&gt;='Calculator'!$B$5)</x:f>
        <x:v>1</x:v>
      </x:c>
      <x:c r="G590" t="n">
        <x:f>--AND(A590+'Calculator'!$B$6&gt;=15,B590+'Calculator'!$B$6&gt;=15,C590+'Calculator'!$B$6&gt;=15)</x:f>
        <x:v>0</x:v>
      </x:c>
      <x:c r="H590" t="n">
        <x:f>--AND(F590=1,D590='Calculator'!$B$4)</x:f>
        <x:v>0</x:v>
      </x:c>
      <x:c r="I590" t="n">
        <x:f>--AND(H590=1,G590=1)</x:f>
        <x:v>0</x:v>
      </x:c>
      <x:c r="J590" t="n">
        <x:f>--AND(F590=1,E590='Calculator'!$B$4)</x:f>
        <x:v>0</x:v>
      </x:c>
      <x:c r="K590" t="n">
        <x:f>--AND(J590=1,G590=1)</x:f>
        <x:v>0</x:v>
      </x:c>
      <x:c r="L590" t="str">
        <x:f>A590&amp;"/"&amp;B590&amp;"/"&amp;C590</x:f>
        <x:v>11/14/14</x:v>
      </x:c>
      <x:c r="M590" t="str">
        <x:f>MIN(15,A590+'Calculator'!$B$6)&amp;"/"&amp;MIN(15,B590+'Calculator'!$B$6)&amp;"/"&amp;MIN(15,C590+'Calculator'!$B$6)</x:f>
        <x:v>13/15/15</x:v>
      </x:c>
    </x:row>
    <x:row r="591">
      <x:c r="A591" t="n">
        <x:v>11</x:v>
      </x:c>
      <x:c r="B591" t="n">
        <x:v>14</x:v>
      </x:c>
      <x:c r="C591" t="n">
        <x:v>15</x:v>
      </x:c>
      <x:c r="D591" t="n">
        <x:f>MAX(10,ROUNDDOWN((('Calculator'!$B$10+A591)*SQRT('Calculator'!$B$11+B591)*SQRT('Calculator'!$B$12+C591)*0.59740001^2)/10,0))</x:f>
        <x:v>2351</x:v>
      </x:c>
      <x:c r="E591" t="n">
        <x:f>MAX(10,ROUNDDOWN((('Calculator'!$B$10+A591)*SQRT('Calculator'!$B$11+B591)*SQRT('Calculator'!$B$12+C591)*0.667934^2)/10,0))</x:f>
        <x:v>2939</x:v>
      </x:c>
      <x:c r="F591" t="n">
        <x:f>--AND(A591&gt;='Calculator'!$B$5,B591&gt;='Calculator'!$B$5,C591&gt;='Calculator'!$B$5)</x:f>
        <x:v>1</x:v>
      </x:c>
      <x:c r="G591" t="n">
        <x:f>--AND(A591+'Calculator'!$B$6&gt;=15,B591+'Calculator'!$B$6&gt;=15,C591+'Calculator'!$B$6&gt;=15)</x:f>
        <x:v>0</x:v>
      </x:c>
      <x:c r="H591" t="n">
        <x:f>--AND(F591=1,D591='Calculator'!$B$4)</x:f>
        <x:v>0</x:v>
      </x:c>
      <x:c r="I591" t="n">
        <x:f>--AND(H591=1,G591=1)</x:f>
        <x:v>0</x:v>
      </x:c>
      <x:c r="J591" t="n">
        <x:f>--AND(F591=1,E591='Calculator'!$B$4)</x:f>
        <x:v>0</x:v>
      </x:c>
      <x:c r="K591" t="n">
        <x:f>--AND(J591=1,G591=1)</x:f>
        <x:v>0</x:v>
      </x:c>
      <x:c r="L591" t="str">
        <x:f>A591&amp;"/"&amp;B591&amp;"/"&amp;C591</x:f>
        <x:v>11/14/15</x:v>
      </x:c>
      <x:c r="M591" t="str">
        <x:f>MIN(15,A591+'Calculator'!$B$6)&amp;"/"&amp;MIN(15,B591+'Calculator'!$B$6)&amp;"/"&amp;MIN(15,C591+'Calculator'!$B$6)</x:f>
        <x:v>13/15/15</x:v>
      </x:c>
    </x:row>
    <x:row r="592">
      <x:c r="A592" t="n">
        <x:v>11</x:v>
      </x:c>
      <x:c r="B592" t="n">
        <x:v>15</x:v>
      </x:c>
      <x:c r="C592" t="n">
        <x:v>6</x:v>
      </x:c>
      <x:c r="D592" t="n">
        <x:f>MAX(10,ROUNDDOWN((('Calculator'!$B$10+A592)*SQRT('Calculator'!$B$11+B592)*SQRT('Calculator'!$B$12+C592)*0.59740001^2)/10,0))</x:f>
        <x:v>2310</x:v>
      </x:c>
      <x:c r="E592" t="n">
        <x:f>MAX(10,ROUNDDOWN((('Calculator'!$B$10+A592)*SQRT('Calculator'!$B$11+B592)*SQRT('Calculator'!$B$12+C592)*0.667934^2)/10,0))</x:f>
        <x:v>2888</x:v>
      </x:c>
      <x:c r="F592" t="n">
        <x:f>--AND(A592&gt;='Calculator'!$B$5,B592&gt;='Calculator'!$B$5,C592&gt;='Calculator'!$B$5)</x:f>
        <x:v>1</x:v>
      </x:c>
      <x:c r="G592" t="n">
        <x:f>--AND(A592+'Calculator'!$B$6&gt;=15,B592+'Calculator'!$B$6&gt;=15,C592+'Calculator'!$B$6&gt;=15)</x:f>
        <x:v>0</x:v>
      </x:c>
      <x:c r="H592" t="n">
        <x:f>--AND(F592=1,D592='Calculator'!$B$4)</x:f>
        <x:v>0</x:v>
      </x:c>
      <x:c r="I592" t="n">
        <x:f>--AND(H592=1,G592=1)</x:f>
        <x:v>0</x:v>
      </x:c>
      <x:c r="J592" t="n">
        <x:f>--AND(F592=1,E592='Calculator'!$B$4)</x:f>
        <x:v>0</x:v>
      </x:c>
      <x:c r="K592" t="n">
        <x:f>--AND(J592=1,G592=1)</x:f>
        <x:v>0</x:v>
      </x:c>
      <x:c r="L592" t="str">
        <x:f>A592&amp;"/"&amp;B592&amp;"/"&amp;C592</x:f>
        <x:v>11/15/6</x:v>
      </x:c>
      <x:c r="M592" t="str">
        <x:f>MIN(15,A592+'Calculator'!$B$6)&amp;"/"&amp;MIN(15,B592+'Calculator'!$B$6)&amp;"/"&amp;MIN(15,C592+'Calculator'!$B$6)</x:f>
        <x:v>13/15/8</x:v>
      </x:c>
    </x:row>
    <x:row r="593">
      <x:c r="A593" t="n">
        <x:v>11</x:v>
      </x:c>
      <x:c r="B593" t="n">
        <x:v>15</x:v>
      </x:c>
      <x:c r="C593" t="n">
        <x:v>7</x:v>
      </x:c>
      <x:c r="D593" t="n">
        <x:f>MAX(10,ROUNDDOWN((('Calculator'!$B$10+A593)*SQRT('Calculator'!$B$11+B593)*SQRT('Calculator'!$B$12+C593)*0.59740001^2)/10,0))</x:f>
        <x:v>2315</x:v>
      </x:c>
      <x:c r="E593" t="n">
        <x:f>MAX(10,ROUNDDOWN((('Calculator'!$B$10+A593)*SQRT('Calculator'!$B$11+B593)*SQRT('Calculator'!$B$12+C593)*0.667934^2)/10,0))</x:f>
        <x:v>2895</x:v>
      </x:c>
      <x:c r="F593" t="n">
        <x:f>--AND(A593&gt;='Calculator'!$B$5,B593&gt;='Calculator'!$B$5,C593&gt;='Calculator'!$B$5)</x:f>
        <x:v>1</x:v>
      </x:c>
      <x:c r="G593" t="n">
        <x:f>--AND(A593+'Calculator'!$B$6&gt;=15,B593+'Calculator'!$B$6&gt;=15,C593+'Calculator'!$B$6&gt;=15)</x:f>
        <x:v>0</x:v>
      </x:c>
      <x:c r="H593" t="n">
        <x:f>--AND(F593=1,D593='Calculator'!$B$4)</x:f>
        <x:v>0</x:v>
      </x:c>
      <x:c r="I593" t="n">
        <x:f>--AND(H593=1,G593=1)</x:f>
        <x:v>0</x:v>
      </x:c>
      <x:c r="J593" t="n">
        <x:f>--AND(F593=1,E593='Calculator'!$B$4)</x:f>
        <x:v>0</x:v>
      </x:c>
      <x:c r="K593" t="n">
        <x:f>--AND(J593=1,G593=1)</x:f>
        <x:v>0</x:v>
      </x:c>
      <x:c r="L593" t="str">
        <x:f>A593&amp;"/"&amp;B593&amp;"/"&amp;C593</x:f>
        <x:v>11/15/7</x:v>
      </x:c>
      <x:c r="M593" t="str">
        <x:f>MIN(15,A593+'Calculator'!$B$6)&amp;"/"&amp;MIN(15,B593+'Calculator'!$B$6)&amp;"/"&amp;MIN(15,C593+'Calculator'!$B$6)</x:f>
        <x:v>13/15/9</x:v>
      </x:c>
    </x:row>
    <x:row r="594">
      <x:c r="A594" t="n">
        <x:v>11</x:v>
      </x:c>
      <x:c r="B594" t="n">
        <x:v>15</x:v>
      </x:c>
      <x:c r="C594" t="n">
        <x:v>8</x:v>
      </x:c>
      <x:c r="D594" t="n">
        <x:f>MAX(10,ROUNDDOWN((('Calculator'!$B$10+A594)*SQRT('Calculator'!$B$11+B594)*SQRT('Calculator'!$B$12+C594)*0.59740001^2)/10,0))</x:f>
        <x:v>2321</x:v>
      </x:c>
      <x:c r="E594" t="n">
        <x:f>MAX(10,ROUNDDOWN((('Calculator'!$B$10+A594)*SQRT('Calculator'!$B$11+B594)*SQRT('Calculator'!$B$12+C594)*0.667934^2)/10,0))</x:f>
        <x:v>2901</x:v>
      </x:c>
      <x:c r="F594" t="n">
        <x:f>--AND(A594&gt;='Calculator'!$B$5,B594&gt;='Calculator'!$B$5,C594&gt;='Calculator'!$B$5)</x:f>
        <x:v>1</x:v>
      </x:c>
      <x:c r="G594" t="n">
        <x:f>--AND(A594+'Calculator'!$B$6&gt;=15,B594+'Calculator'!$B$6&gt;=15,C594+'Calculator'!$B$6&gt;=15)</x:f>
        <x:v>0</x:v>
      </x:c>
      <x:c r="H594" t="n">
        <x:f>--AND(F594=1,D594='Calculator'!$B$4)</x:f>
        <x:v>0</x:v>
      </x:c>
      <x:c r="I594" t="n">
        <x:f>--AND(H594=1,G594=1)</x:f>
        <x:v>0</x:v>
      </x:c>
      <x:c r="J594" t="n">
        <x:f>--AND(F594=1,E594='Calculator'!$B$4)</x:f>
        <x:v>0</x:v>
      </x:c>
      <x:c r="K594" t="n">
        <x:f>--AND(J594=1,G594=1)</x:f>
        <x:v>0</x:v>
      </x:c>
      <x:c r="L594" t="str">
        <x:f>A594&amp;"/"&amp;B594&amp;"/"&amp;C594</x:f>
        <x:v>11/15/8</x:v>
      </x:c>
      <x:c r="M594" t="str">
        <x:f>MIN(15,A594+'Calculator'!$B$6)&amp;"/"&amp;MIN(15,B594+'Calculator'!$B$6)&amp;"/"&amp;MIN(15,C594+'Calculator'!$B$6)</x:f>
        <x:v>13/15/10</x:v>
      </x:c>
    </x:row>
    <x:row r="595">
      <x:c r="A595" t="n">
        <x:v>11</x:v>
      </x:c>
      <x:c r="B595" t="n">
        <x:v>15</x:v>
      </x:c>
      <x:c r="C595" t="n">
        <x:v>9</x:v>
      </x:c>
      <x:c r="D595" t="n">
        <x:f>MAX(10,ROUNDDOWN((('Calculator'!$B$10+A595)*SQRT('Calculator'!$B$11+B595)*SQRT('Calculator'!$B$12+C595)*0.59740001^2)/10,0))</x:f>
        <x:v>2326</x:v>
      </x:c>
      <x:c r="E595" t="n">
        <x:f>MAX(10,ROUNDDOWN((('Calculator'!$B$10+A595)*SQRT('Calculator'!$B$11+B595)*SQRT('Calculator'!$B$12+C595)*0.667934^2)/10,0))</x:f>
        <x:v>2908</x:v>
      </x:c>
      <x:c r="F595" t="n">
        <x:f>--AND(A595&gt;='Calculator'!$B$5,B595&gt;='Calculator'!$B$5,C595&gt;='Calculator'!$B$5)</x:f>
        <x:v>1</x:v>
      </x:c>
      <x:c r="G595" t="n">
        <x:f>--AND(A595+'Calculator'!$B$6&gt;=15,B595+'Calculator'!$B$6&gt;=15,C595+'Calculator'!$B$6&gt;=15)</x:f>
        <x:v>0</x:v>
      </x:c>
      <x:c r="H595" t="n">
        <x:f>--AND(F595=1,D595='Calculator'!$B$4)</x:f>
        <x:v>0</x:v>
      </x:c>
      <x:c r="I595" t="n">
        <x:f>--AND(H595=1,G595=1)</x:f>
        <x:v>0</x:v>
      </x:c>
      <x:c r="J595" t="n">
        <x:f>--AND(F595=1,E595='Calculator'!$B$4)</x:f>
        <x:v>0</x:v>
      </x:c>
      <x:c r="K595" t="n">
        <x:f>--AND(J595=1,G595=1)</x:f>
        <x:v>0</x:v>
      </x:c>
      <x:c r="L595" t="str">
        <x:f>A595&amp;"/"&amp;B595&amp;"/"&amp;C595</x:f>
        <x:v>11/15/9</x:v>
      </x:c>
      <x:c r="M595" t="str">
        <x:f>MIN(15,A595+'Calculator'!$B$6)&amp;"/"&amp;MIN(15,B595+'Calculator'!$B$6)&amp;"/"&amp;MIN(15,C595+'Calculator'!$B$6)</x:f>
        <x:v>13/15/11</x:v>
      </x:c>
    </x:row>
    <x:row r="596">
      <x:c r="A596" t="n">
        <x:v>11</x:v>
      </x:c>
      <x:c r="B596" t="n">
        <x:v>15</x:v>
      </x:c>
      <x:c r="C596" t="n">
        <x:v>10</x:v>
      </x:c>
      <x:c r="D596" t="n">
        <x:f>MAX(10,ROUNDDOWN((('Calculator'!$B$10+A596)*SQRT('Calculator'!$B$11+B596)*SQRT('Calculator'!$B$12+C596)*0.59740001^2)/10,0))</x:f>
        <x:v>2331</x:v>
      </x:c>
      <x:c r="E596" t="n">
        <x:f>MAX(10,ROUNDDOWN((('Calculator'!$B$10+A596)*SQRT('Calculator'!$B$11+B596)*SQRT('Calculator'!$B$12+C596)*0.667934^2)/10,0))</x:f>
        <x:v>2914</x:v>
      </x:c>
      <x:c r="F596" t="n">
        <x:f>--AND(A596&gt;='Calculator'!$B$5,B596&gt;='Calculator'!$B$5,C596&gt;='Calculator'!$B$5)</x:f>
        <x:v>1</x:v>
      </x:c>
      <x:c r="G596" t="n">
        <x:f>--AND(A596+'Calculator'!$B$6&gt;=15,B596+'Calculator'!$B$6&gt;=15,C596+'Calculator'!$B$6&gt;=15)</x:f>
        <x:v>0</x:v>
      </x:c>
      <x:c r="H596" t="n">
        <x:f>--AND(F596=1,D596='Calculator'!$B$4)</x:f>
        <x:v>0</x:v>
      </x:c>
      <x:c r="I596" t="n">
        <x:f>--AND(H596=1,G596=1)</x:f>
        <x:v>0</x:v>
      </x:c>
      <x:c r="J596" t="n">
        <x:f>--AND(F596=1,E596='Calculator'!$B$4)</x:f>
        <x:v>0</x:v>
      </x:c>
      <x:c r="K596" t="n">
        <x:f>--AND(J596=1,G596=1)</x:f>
        <x:v>0</x:v>
      </x:c>
      <x:c r="L596" t="str">
        <x:f>A596&amp;"/"&amp;B596&amp;"/"&amp;C596</x:f>
        <x:v>11/15/10</x:v>
      </x:c>
      <x:c r="M596" t="str">
        <x:f>MIN(15,A596+'Calculator'!$B$6)&amp;"/"&amp;MIN(15,B596+'Calculator'!$B$6)&amp;"/"&amp;MIN(15,C596+'Calculator'!$B$6)</x:f>
        <x:v>13/15/12</x:v>
      </x:c>
    </x:row>
    <x:row r="597">
      <x:c r="A597" t="n">
        <x:v>11</x:v>
      </x:c>
      <x:c r="B597" t="n">
        <x:v>15</x:v>
      </x:c>
      <x:c r="C597" t="n">
        <x:v>11</x:v>
      </x:c>
      <x:c r="D597" t="n">
        <x:f>MAX(10,ROUNDDOWN((('Calculator'!$B$10+A597)*SQRT('Calculator'!$B$11+B597)*SQRT('Calculator'!$B$12+C597)*0.59740001^2)/10,0))</x:f>
        <x:v>2336</x:v>
      </x:c>
      <x:c r="E597" t="n">
        <x:f>MAX(10,ROUNDDOWN((('Calculator'!$B$10+A597)*SQRT('Calculator'!$B$11+B597)*SQRT('Calculator'!$B$12+C597)*0.667934^2)/10,0))</x:f>
        <x:v>2921</x:v>
      </x:c>
      <x:c r="F597" t="n">
        <x:f>--AND(A597&gt;='Calculator'!$B$5,B597&gt;='Calculator'!$B$5,C597&gt;='Calculator'!$B$5)</x:f>
        <x:v>1</x:v>
      </x:c>
      <x:c r="G597" t="n">
        <x:f>--AND(A597+'Calculator'!$B$6&gt;=15,B597+'Calculator'!$B$6&gt;=15,C597+'Calculator'!$B$6&gt;=15)</x:f>
        <x:v>0</x:v>
      </x:c>
      <x:c r="H597" t="n">
        <x:f>--AND(F597=1,D597='Calculator'!$B$4)</x:f>
        <x:v>0</x:v>
      </x:c>
      <x:c r="I597" t="n">
        <x:f>--AND(H597=1,G597=1)</x:f>
        <x:v>0</x:v>
      </x:c>
      <x:c r="J597" t="n">
        <x:f>--AND(F597=1,E597='Calculator'!$B$4)</x:f>
        <x:v>0</x:v>
      </x:c>
      <x:c r="K597" t="n">
        <x:f>--AND(J597=1,G597=1)</x:f>
        <x:v>0</x:v>
      </x:c>
      <x:c r="L597" t="str">
        <x:f>A597&amp;"/"&amp;B597&amp;"/"&amp;C597</x:f>
        <x:v>11/15/11</x:v>
      </x:c>
      <x:c r="M597" t="str">
        <x:f>MIN(15,A597+'Calculator'!$B$6)&amp;"/"&amp;MIN(15,B597+'Calculator'!$B$6)&amp;"/"&amp;MIN(15,C597+'Calculator'!$B$6)</x:f>
        <x:v>13/15/13</x:v>
      </x:c>
    </x:row>
    <x:row r="598">
      <x:c r="A598" t="n">
        <x:v>11</x:v>
      </x:c>
      <x:c r="B598" t="n">
        <x:v>15</x:v>
      </x:c>
      <x:c r="C598" t="n">
        <x:v>12</x:v>
      </x:c>
      <x:c r="D598" t="n">
        <x:f>MAX(10,ROUNDDOWN((('Calculator'!$B$10+A598)*SQRT('Calculator'!$B$11+B598)*SQRT('Calculator'!$B$12+C598)*0.59740001^2)/10,0))</x:f>
        <x:v>2341</x:v>
      </x:c>
      <x:c r="E598" t="n">
        <x:f>MAX(10,ROUNDDOWN((('Calculator'!$B$10+A598)*SQRT('Calculator'!$B$11+B598)*SQRT('Calculator'!$B$12+C598)*0.667934^2)/10,0))</x:f>
        <x:v>2927</x:v>
      </x:c>
      <x:c r="F598" t="n">
        <x:f>--AND(A598&gt;='Calculator'!$B$5,B598&gt;='Calculator'!$B$5,C598&gt;='Calculator'!$B$5)</x:f>
        <x:v>1</x:v>
      </x:c>
      <x:c r="G598" t="n">
        <x:f>--AND(A598+'Calculator'!$B$6&gt;=15,B598+'Calculator'!$B$6&gt;=15,C598+'Calculator'!$B$6&gt;=15)</x:f>
        <x:v>0</x:v>
      </x:c>
      <x:c r="H598" t="n">
        <x:f>--AND(F598=1,D598='Calculator'!$B$4)</x:f>
        <x:v>0</x:v>
      </x:c>
      <x:c r="I598" t="n">
        <x:f>--AND(H598=1,G598=1)</x:f>
        <x:v>0</x:v>
      </x:c>
      <x:c r="J598" t="n">
        <x:f>--AND(F598=1,E598='Calculator'!$B$4)</x:f>
        <x:v>0</x:v>
      </x:c>
      <x:c r="K598" t="n">
        <x:f>--AND(J598=1,G598=1)</x:f>
        <x:v>0</x:v>
      </x:c>
      <x:c r="L598" t="str">
        <x:f>A598&amp;"/"&amp;B598&amp;"/"&amp;C598</x:f>
        <x:v>11/15/12</x:v>
      </x:c>
      <x:c r="M598" t="str">
        <x:f>MIN(15,A598+'Calculator'!$B$6)&amp;"/"&amp;MIN(15,B598+'Calculator'!$B$6)&amp;"/"&amp;MIN(15,C598+'Calculator'!$B$6)</x:f>
        <x:v>13/15/14</x:v>
      </x:c>
    </x:row>
    <x:row r="599">
      <x:c r="A599" t="n">
        <x:v>11</x:v>
      </x:c>
      <x:c r="B599" t="n">
        <x:v>15</x:v>
      </x:c>
      <x:c r="C599" t="n">
        <x:v>13</x:v>
      </x:c>
      <x:c r="D599" t="n">
        <x:f>MAX(10,ROUNDDOWN((('Calculator'!$B$10+A599)*SQRT('Calculator'!$B$11+B599)*SQRT('Calculator'!$B$12+C599)*0.59740001^2)/10,0))</x:f>
        <x:v>2347</x:v>
      </x:c>
      <x:c r="E599" t="n">
        <x:f>MAX(10,ROUNDDOWN((('Calculator'!$B$10+A599)*SQRT('Calculator'!$B$11+B599)*SQRT('Calculator'!$B$12+C599)*0.667934^2)/10,0))</x:f>
        <x:v>2934</x:v>
      </x:c>
      <x:c r="F599" t="n">
        <x:f>--AND(A599&gt;='Calculator'!$B$5,B599&gt;='Calculator'!$B$5,C599&gt;='Calculator'!$B$5)</x:f>
        <x:v>1</x:v>
      </x:c>
      <x:c r="G599" t="n">
        <x:f>--AND(A599+'Calculator'!$B$6&gt;=15,B599+'Calculator'!$B$6&gt;=15,C599+'Calculator'!$B$6&gt;=15)</x:f>
        <x:v>0</x:v>
      </x:c>
      <x:c r="H599" t="n">
        <x:f>--AND(F599=1,D599='Calculator'!$B$4)</x:f>
        <x:v>0</x:v>
      </x:c>
      <x:c r="I599" t="n">
        <x:f>--AND(H599=1,G599=1)</x:f>
        <x:v>0</x:v>
      </x:c>
      <x:c r="J599" t="n">
        <x:f>--AND(F599=1,E599='Calculator'!$B$4)</x:f>
        <x:v>0</x:v>
      </x:c>
      <x:c r="K599" t="n">
        <x:f>--AND(J599=1,G599=1)</x:f>
        <x:v>0</x:v>
      </x:c>
      <x:c r="L599" t="str">
        <x:f>A599&amp;"/"&amp;B599&amp;"/"&amp;C599</x:f>
        <x:v>11/15/13</x:v>
      </x:c>
      <x:c r="M599" t="str">
        <x:f>MIN(15,A599+'Calculator'!$B$6)&amp;"/"&amp;MIN(15,B599+'Calculator'!$B$6)&amp;"/"&amp;MIN(15,C599+'Calculator'!$B$6)</x:f>
        <x:v>13/15/15</x:v>
      </x:c>
    </x:row>
    <x:row r="600">
      <x:c r="A600" t="n">
        <x:v>11</x:v>
      </x:c>
      <x:c r="B600" t="n">
        <x:v>15</x:v>
      </x:c>
      <x:c r="C600" t="n">
        <x:v>14</x:v>
      </x:c>
      <x:c r="D600" t="n">
        <x:f>MAX(10,ROUNDDOWN((('Calculator'!$B$10+A600)*SQRT('Calculator'!$B$11+B600)*SQRT('Calculator'!$B$12+C600)*0.59740001^2)/10,0))</x:f>
        <x:v>2352</x:v>
      </x:c>
      <x:c r="E600" t="n">
        <x:f>MAX(10,ROUNDDOWN((('Calculator'!$B$10+A600)*SQRT('Calculator'!$B$11+B600)*SQRT('Calculator'!$B$12+C600)*0.667934^2)/10,0))</x:f>
        <x:v>2940</x:v>
      </x:c>
      <x:c r="F600" t="n">
        <x:f>--AND(A600&gt;='Calculator'!$B$5,B600&gt;='Calculator'!$B$5,C600&gt;='Calculator'!$B$5)</x:f>
        <x:v>1</x:v>
      </x:c>
      <x:c r="G600" t="n">
        <x:f>--AND(A600+'Calculator'!$B$6&gt;=15,B600+'Calculator'!$B$6&gt;=15,C600+'Calculator'!$B$6&gt;=15)</x:f>
        <x:v>0</x:v>
      </x:c>
      <x:c r="H600" t="n">
        <x:f>--AND(F600=1,D600='Calculator'!$B$4)</x:f>
        <x:v>0</x:v>
      </x:c>
      <x:c r="I600" t="n">
        <x:f>--AND(H600=1,G600=1)</x:f>
        <x:v>0</x:v>
      </x:c>
      <x:c r="J600" t="n">
        <x:f>--AND(F600=1,E600='Calculator'!$B$4)</x:f>
        <x:v>0</x:v>
      </x:c>
      <x:c r="K600" t="n">
        <x:f>--AND(J600=1,G600=1)</x:f>
        <x:v>0</x:v>
      </x:c>
      <x:c r="L600" t="str">
        <x:f>A600&amp;"/"&amp;B600&amp;"/"&amp;C600</x:f>
        <x:v>11/15/14</x:v>
      </x:c>
      <x:c r="M600" t="str">
        <x:f>MIN(15,A600+'Calculator'!$B$6)&amp;"/"&amp;MIN(15,B600+'Calculator'!$B$6)&amp;"/"&amp;MIN(15,C600+'Calculator'!$B$6)</x:f>
        <x:v>13/15/15</x:v>
      </x:c>
    </x:row>
    <x:row r="601">
      <x:c r="A601" t="n">
        <x:v>11</x:v>
      </x:c>
      <x:c r="B601" t="n">
        <x:v>15</x:v>
      </x:c>
      <x:c r="C601" t="n">
        <x:v>15</x:v>
      </x:c>
      <x:c r="D601" t="n">
        <x:f>MAX(10,ROUNDDOWN((('Calculator'!$B$10+A601)*SQRT('Calculator'!$B$11+B601)*SQRT('Calculator'!$B$12+C601)*0.59740001^2)/10,0))</x:f>
        <x:v>2357</x:v>
      </x:c>
      <x:c r="E601" t="n">
        <x:f>MAX(10,ROUNDDOWN((('Calculator'!$B$10+A601)*SQRT('Calculator'!$B$11+B601)*SQRT('Calculator'!$B$12+C601)*0.667934^2)/10,0))</x:f>
        <x:v>2946</x:v>
      </x:c>
      <x:c r="F601" t="n">
        <x:f>--AND(A601&gt;='Calculator'!$B$5,B601&gt;='Calculator'!$B$5,C601&gt;='Calculator'!$B$5)</x:f>
        <x:v>1</x:v>
      </x:c>
      <x:c r="G601" t="n">
        <x:f>--AND(A601+'Calculator'!$B$6&gt;=15,B601+'Calculator'!$B$6&gt;=15,C601+'Calculator'!$B$6&gt;=15)</x:f>
        <x:v>0</x:v>
      </x:c>
      <x:c r="H601" t="n">
        <x:f>--AND(F601=1,D601='Calculator'!$B$4)</x:f>
        <x:v>0</x:v>
      </x:c>
      <x:c r="I601" t="n">
        <x:f>--AND(H601=1,G601=1)</x:f>
        <x:v>0</x:v>
      </x:c>
      <x:c r="J601" t="n">
        <x:f>--AND(F601=1,E601='Calculator'!$B$4)</x:f>
        <x:v>0</x:v>
      </x:c>
      <x:c r="K601" t="n">
        <x:f>--AND(J601=1,G601=1)</x:f>
        <x:v>0</x:v>
      </x:c>
      <x:c r="L601" t="str">
        <x:f>A601&amp;"/"&amp;B601&amp;"/"&amp;C601</x:f>
        <x:v>11/15/15</x:v>
      </x:c>
      <x:c r="M601" t="str">
        <x:f>MIN(15,A601+'Calculator'!$B$6)&amp;"/"&amp;MIN(15,B601+'Calculator'!$B$6)&amp;"/"&amp;MIN(15,C601+'Calculator'!$B$6)</x:f>
        <x:v>13/15/15</x:v>
      </x:c>
    </x:row>
    <x:row r="602">
      <x:c r="A602" t="n">
        <x:v>12</x:v>
      </x:c>
      <x:c r="B602" t="n">
        <x:v>6</x:v>
      </x:c>
      <x:c r="C602" t="n">
        <x:v>6</x:v>
      </x:c>
      <x:c r="D602" t="n">
        <x:f>MAX(10,ROUNDDOWN((('Calculator'!$B$10+A602)*SQRT('Calculator'!$B$11+B602)*SQRT('Calculator'!$B$12+C602)*0.59740001^2)/10,0))</x:f>
        <x:v>2264</x:v>
      </x:c>
      <x:c r="E602" t="n">
        <x:f>MAX(10,ROUNDDOWN((('Calculator'!$B$10+A602)*SQRT('Calculator'!$B$11+B602)*SQRT('Calculator'!$B$12+C602)*0.667934^2)/10,0))</x:f>
        <x:v>2830</x:v>
      </x:c>
      <x:c r="F602" t="n">
        <x:f>--AND(A602&gt;='Calculator'!$B$5,B602&gt;='Calculator'!$B$5,C602&gt;='Calculator'!$B$5)</x:f>
        <x:v>1</x:v>
      </x:c>
      <x:c r="G602" t="n">
        <x:f>--AND(A602+'Calculator'!$B$6&gt;=15,B602+'Calculator'!$B$6&gt;=15,C602+'Calculator'!$B$6&gt;=15)</x:f>
        <x:v>0</x:v>
      </x:c>
      <x:c r="H602" t="n">
        <x:f>--AND(F602=1,D602='Calculator'!$B$4)</x:f>
        <x:v>0</x:v>
      </x:c>
      <x:c r="I602" t="n">
        <x:f>--AND(H602=1,G602=1)</x:f>
        <x:v>0</x:v>
      </x:c>
      <x:c r="J602" t="n">
        <x:f>--AND(F602=1,E602='Calculator'!$B$4)</x:f>
        <x:v>0</x:v>
      </x:c>
      <x:c r="K602" t="n">
        <x:f>--AND(J602=1,G602=1)</x:f>
        <x:v>0</x:v>
      </x:c>
      <x:c r="L602" t="str">
        <x:f>A602&amp;"/"&amp;B602&amp;"/"&amp;C602</x:f>
        <x:v>12/6/6</x:v>
      </x:c>
      <x:c r="M602" t="str">
        <x:f>MIN(15,A602+'Calculator'!$B$6)&amp;"/"&amp;MIN(15,B602+'Calculator'!$B$6)&amp;"/"&amp;MIN(15,C602+'Calculator'!$B$6)</x:f>
        <x:v>14/8/8</x:v>
      </x:c>
    </x:row>
    <x:row r="603">
      <x:c r="A603" t="n">
        <x:v>12</x:v>
      </x:c>
      <x:c r="B603" t="n">
        <x:v>6</x:v>
      </x:c>
      <x:c r="C603" t="n">
        <x:v>7</x:v>
      </x:c>
      <x:c r="D603" t="n">
        <x:f>MAX(10,ROUNDDOWN((('Calculator'!$B$10+A603)*SQRT('Calculator'!$B$11+B603)*SQRT('Calculator'!$B$12+C603)*0.59740001^2)/10,0))</x:f>
        <x:v>2269</x:v>
      </x:c>
      <x:c r="E603" t="n">
        <x:f>MAX(10,ROUNDDOWN((('Calculator'!$B$10+A603)*SQRT('Calculator'!$B$11+B603)*SQRT('Calculator'!$B$12+C603)*0.667934^2)/10,0))</x:f>
        <x:v>2837</x:v>
      </x:c>
      <x:c r="F603" t="n">
        <x:f>--AND(A603&gt;='Calculator'!$B$5,B603&gt;='Calculator'!$B$5,C603&gt;='Calculator'!$B$5)</x:f>
        <x:v>1</x:v>
      </x:c>
      <x:c r="G603" t="n">
        <x:f>--AND(A603+'Calculator'!$B$6&gt;=15,B603+'Calculator'!$B$6&gt;=15,C603+'Calculator'!$B$6&gt;=15)</x:f>
        <x:v>0</x:v>
      </x:c>
      <x:c r="H603" t="n">
        <x:f>--AND(F603=1,D603='Calculator'!$B$4)</x:f>
        <x:v>0</x:v>
      </x:c>
      <x:c r="I603" t="n">
        <x:f>--AND(H603=1,G603=1)</x:f>
        <x:v>0</x:v>
      </x:c>
      <x:c r="J603" t="n">
        <x:f>--AND(F603=1,E603='Calculator'!$B$4)</x:f>
        <x:v>0</x:v>
      </x:c>
      <x:c r="K603" t="n">
        <x:f>--AND(J603=1,G603=1)</x:f>
        <x:v>0</x:v>
      </x:c>
      <x:c r="L603" t="str">
        <x:f>A603&amp;"/"&amp;B603&amp;"/"&amp;C603</x:f>
        <x:v>12/6/7</x:v>
      </x:c>
      <x:c r="M603" t="str">
        <x:f>MIN(15,A603+'Calculator'!$B$6)&amp;"/"&amp;MIN(15,B603+'Calculator'!$B$6)&amp;"/"&amp;MIN(15,C603+'Calculator'!$B$6)</x:f>
        <x:v>14/8/9</x:v>
      </x:c>
    </x:row>
    <x:row r="604">
      <x:c r="A604" t="n">
        <x:v>12</x:v>
      </x:c>
      <x:c r="B604" t="n">
        <x:v>6</x:v>
      </x:c>
      <x:c r="C604" t="n">
        <x:v>8</x:v>
      </x:c>
      <x:c r="D604" t="n">
        <x:f>MAX(10,ROUNDDOWN((('Calculator'!$B$10+A604)*SQRT('Calculator'!$B$11+B604)*SQRT('Calculator'!$B$12+C604)*0.59740001^2)/10,0))</x:f>
        <x:v>2274</x:v>
      </x:c>
      <x:c r="E604" t="n">
        <x:f>MAX(10,ROUNDDOWN((('Calculator'!$B$10+A604)*SQRT('Calculator'!$B$11+B604)*SQRT('Calculator'!$B$12+C604)*0.667934^2)/10,0))</x:f>
        <x:v>2843</x:v>
      </x:c>
      <x:c r="F604" t="n">
        <x:f>--AND(A604&gt;='Calculator'!$B$5,B604&gt;='Calculator'!$B$5,C604&gt;='Calculator'!$B$5)</x:f>
        <x:v>1</x:v>
      </x:c>
      <x:c r="G604" t="n">
        <x:f>--AND(A604+'Calculator'!$B$6&gt;=15,B604+'Calculator'!$B$6&gt;=15,C604+'Calculator'!$B$6&gt;=15)</x:f>
        <x:v>0</x:v>
      </x:c>
      <x:c r="H604" t="n">
        <x:f>--AND(F604=1,D604='Calculator'!$B$4)</x:f>
        <x:v>0</x:v>
      </x:c>
      <x:c r="I604" t="n">
        <x:f>--AND(H604=1,G604=1)</x:f>
        <x:v>0</x:v>
      </x:c>
      <x:c r="J604" t="n">
        <x:f>--AND(F604=1,E604='Calculator'!$B$4)</x:f>
        <x:v>0</x:v>
      </x:c>
      <x:c r="K604" t="n">
        <x:f>--AND(J604=1,G604=1)</x:f>
        <x:v>0</x:v>
      </x:c>
      <x:c r="L604" t="str">
        <x:f>A604&amp;"/"&amp;B604&amp;"/"&amp;C604</x:f>
        <x:v>12/6/8</x:v>
      </x:c>
      <x:c r="M604" t="str">
        <x:f>MIN(15,A604+'Calculator'!$B$6)&amp;"/"&amp;MIN(15,B604+'Calculator'!$B$6)&amp;"/"&amp;MIN(15,C604+'Calculator'!$B$6)</x:f>
        <x:v>14/8/10</x:v>
      </x:c>
    </x:row>
    <x:row r="605">
      <x:c r="A605" t="n">
        <x:v>12</x:v>
      </x:c>
      <x:c r="B605" t="n">
        <x:v>6</x:v>
      </x:c>
      <x:c r="C605" t="n">
        <x:v>9</x:v>
      </x:c>
      <x:c r="D605" t="n">
        <x:f>MAX(10,ROUNDDOWN((('Calculator'!$B$10+A605)*SQRT('Calculator'!$B$11+B605)*SQRT('Calculator'!$B$12+C605)*0.59740001^2)/10,0))</x:f>
        <x:v>2279</x:v>
      </x:c>
      <x:c r="E605" t="n">
        <x:f>MAX(10,ROUNDDOWN((('Calculator'!$B$10+A605)*SQRT('Calculator'!$B$11+B605)*SQRT('Calculator'!$B$12+C605)*0.667934^2)/10,0))</x:f>
        <x:v>2850</x:v>
      </x:c>
      <x:c r="F605" t="n">
        <x:f>--AND(A605&gt;='Calculator'!$B$5,B605&gt;='Calculator'!$B$5,C605&gt;='Calculator'!$B$5)</x:f>
        <x:v>1</x:v>
      </x:c>
      <x:c r="G605" t="n">
        <x:f>--AND(A605+'Calculator'!$B$6&gt;=15,B605+'Calculator'!$B$6&gt;=15,C605+'Calculator'!$B$6&gt;=15)</x:f>
        <x:v>0</x:v>
      </x:c>
      <x:c r="H605" t="n">
        <x:f>--AND(F605=1,D605='Calculator'!$B$4)</x:f>
        <x:v>0</x:v>
      </x:c>
      <x:c r="I605" t="n">
        <x:f>--AND(H605=1,G605=1)</x:f>
        <x:v>0</x:v>
      </x:c>
      <x:c r="J605" t="n">
        <x:f>--AND(F605=1,E605='Calculator'!$B$4)</x:f>
        <x:v>0</x:v>
      </x:c>
      <x:c r="K605" t="n">
        <x:f>--AND(J605=1,G605=1)</x:f>
        <x:v>0</x:v>
      </x:c>
      <x:c r="L605" t="str">
        <x:f>A605&amp;"/"&amp;B605&amp;"/"&amp;C605</x:f>
        <x:v>12/6/9</x:v>
      </x:c>
      <x:c r="M605" t="str">
        <x:f>MIN(15,A605+'Calculator'!$B$6)&amp;"/"&amp;MIN(15,B605+'Calculator'!$B$6)&amp;"/"&amp;MIN(15,C605+'Calculator'!$B$6)</x:f>
        <x:v>14/8/11</x:v>
      </x:c>
    </x:row>
    <x:row r="606">
      <x:c r="A606" t="n">
        <x:v>12</x:v>
      </x:c>
      <x:c r="B606" t="n">
        <x:v>6</x:v>
      </x:c>
      <x:c r="C606" t="n">
        <x:v>10</x:v>
      </x:c>
      <x:c r="D606" t="n">
        <x:f>MAX(10,ROUNDDOWN((('Calculator'!$B$10+A606)*SQRT('Calculator'!$B$11+B606)*SQRT('Calculator'!$B$12+C606)*0.59740001^2)/10,0))</x:f>
        <x:v>2285</x:v>
      </x:c>
      <x:c r="E606" t="n">
        <x:f>MAX(10,ROUNDDOWN((('Calculator'!$B$10+A606)*SQRT('Calculator'!$B$11+B606)*SQRT('Calculator'!$B$12+C606)*0.667934^2)/10,0))</x:f>
        <x:v>2856</x:v>
      </x:c>
      <x:c r="F606" t="n">
        <x:f>--AND(A606&gt;='Calculator'!$B$5,B606&gt;='Calculator'!$B$5,C606&gt;='Calculator'!$B$5)</x:f>
        <x:v>1</x:v>
      </x:c>
      <x:c r="G606" t="n">
        <x:f>--AND(A606+'Calculator'!$B$6&gt;=15,B606+'Calculator'!$B$6&gt;=15,C606+'Calculator'!$B$6&gt;=15)</x:f>
        <x:v>0</x:v>
      </x:c>
      <x:c r="H606" t="n">
        <x:f>--AND(F606=1,D606='Calculator'!$B$4)</x:f>
        <x:v>0</x:v>
      </x:c>
      <x:c r="I606" t="n">
        <x:f>--AND(H606=1,G606=1)</x:f>
        <x:v>0</x:v>
      </x:c>
      <x:c r="J606" t="n">
        <x:f>--AND(F606=1,E606='Calculator'!$B$4)</x:f>
        <x:v>0</x:v>
      </x:c>
      <x:c r="K606" t="n">
        <x:f>--AND(J606=1,G606=1)</x:f>
        <x:v>0</x:v>
      </x:c>
      <x:c r="L606" t="str">
        <x:f>A606&amp;"/"&amp;B606&amp;"/"&amp;C606</x:f>
        <x:v>12/6/10</x:v>
      </x:c>
      <x:c r="M606" t="str">
        <x:f>MIN(15,A606+'Calculator'!$B$6)&amp;"/"&amp;MIN(15,B606+'Calculator'!$B$6)&amp;"/"&amp;MIN(15,C606+'Calculator'!$B$6)</x:f>
        <x:v>14/8/12</x:v>
      </x:c>
    </x:row>
    <x:row r="607">
      <x:c r="A607" t="n">
        <x:v>12</x:v>
      </x:c>
      <x:c r="B607" t="n">
        <x:v>6</x:v>
      </x:c>
      <x:c r="C607" t="n">
        <x:v>11</x:v>
      </x:c>
      <x:c r="D607" t="n">
        <x:f>MAX(10,ROUNDDOWN((('Calculator'!$B$10+A607)*SQRT('Calculator'!$B$11+B607)*SQRT('Calculator'!$B$12+C607)*0.59740001^2)/10,0))</x:f>
        <x:v>2290</x:v>
      </x:c>
      <x:c r="E607" t="n">
        <x:f>MAX(10,ROUNDDOWN((('Calculator'!$B$10+A607)*SQRT('Calculator'!$B$11+B607)*SQRT('Calculator'!$B$12+C607)*0.667934^2)/10,0))</x:f>
        <x:v>2862</x:v>
      </x:c>
      <x:c r="F607" t="n">
        <x:f>--AND(A607&gt;='Calculator'!$B$5,B607&gt;='Calculator'!$B$5,C607&gt;='Calculator'!$B$5)</x:f>
        <x:v>1</x:v>
      </x:c>
      <x:c r="G607" t="n">
        <x:f>--AND(A607+'Calculator'!$B$6&gt;=15,B607+'Calculator'!$B$6&gt;=15,C607+'Calculator'!$B$6&gt;=15)</x:f>
        <x:v>0</x:v>
      </x:c>
      <x:c r="H607" t="n">
        <x:f>--AND(F607=1,D607='Calculator'!$B$4)</x:f>
        <x:v>0</x:v>
      </x:c>
      <x:c r="I607" t="n">
        <x:f>--AND(H607=1,G607=1)</x:f>
        <x:v>0</x:v>
      </x:c>
      <x:c r="J607" t="n">
        <x:f>--AND(F607=1,E607='Calculator'!$B$4)</x:f>
        <x:v>0</x:v>
      </x:c>
      <x:c r="K607" t="n">
        <x:f>--AND(J607=1,G607=1)</x:f>
        <x:v>0</x:v>
      </x:c>
      <x:c r="L607" t="str">
        <x:f>A607&amp;"/"&amp;B607&amp;"/"&amp;C607</x:f>
        <x:v>12/6/11</x:v>
      </x:c>
      <x:c r="M607" t="str">
        <x:f>MIN(15,A607+'Calculator'!$B$6)&amp;"/"&amp;MIN(15,B607+'Calculator'!$B$6)&amp;"/"&amp;MIN(15,C607+'Calculator'!$B$6)</x:f>
        <x:v>14/8/13</x:v>
      </x:c>
    </x:row>
    <x:row r="608">
      <x:c r="A608" t="n">
        <x:v>12</x:v>
      </x:c>
      <x:c r="B608" t="n">
        <x:v>6</x:v>
      </x:c>
      <x:c r="C608" t="n">
        <x:v>12</x:v>
      </x:c>
      <x:c r="D608" t="n">
        <x:f>MAX(10,ROUNDDOWN((('Calculator'!$B$10+A608)*SQRT('Calculator'!$B$11+B608)*SQRT('Calculator'!$B$12+C608)*0.59740001^2)/10,0))</x:f>
        <x:v>2295</x:v>
      </x:c>
      <x:c r="E608" t="n">
        <x:f>MAX(10,ROUNDDOWN((('Calculator'!$B$10+A608)*SQRT('Calculator'!$B$11+B608)*SQRT('Calculator'!$B$12+C608)*0.667934^2)/10,0))</x:f>
        <x:v>2869</x:v>
      </x:c>
      <x:c r="F608" t="n">
        <x:f>--AND(A608&gt;='Calculator'!$B$5,B608&gt;='Calculator'!$B$5,C608&gt;='Calculator'!$B$5)</x:f>
        <x:v>1</x:v>
      </x:c>
      <x:c r="G608" t="n">
        <x:f>--AND(A608+'Calculator'!$B$6&gt;=15,B608+'Calculator'!$B$6&gt;=15,C608+'Calculator'!$B$6&gt;=15)</x:f>
        <x:v>0</x:v>
      </x:c>
      <x:c r="H608" t="n">
        <x:f>--AND(F608=1,D608='Calculator'!$B$4)</x:f>
        <x:v>0</x:v>
      </x:c>
      <x:c r="I608" t="n">
        <x:f>--AND(H608=1,G608=1)</x:f>
        <x:v>0</x:v>
      </x:c>
      <x:c r="J608" t="n">
        <x:f>--AND(F608=1,E608='Calculator'!$B$4)</x:f>
        <x:v>0</x:v>
      </x:c>
      <x:c r="K608" t="n">
        <x:f>--AND(J608=1,G608=1)</x:f>
        <x:v>0</x:v>
      </x:c>
      <x:c r="L608" t="str">
        <x:f>A608&amp;"/"&amp;B608&amp;"/"&amp;C608</x:f>
        <x:v>12/6/12</x:v>
      </x:c>
      <x:c r="M608" t="str">
        <x:f>MIN(15,A608+'Calculator'!$B$6)&amp;"/"&amp;MIN(15,B608+'Calculator'!$B$6)&amp;"/"&amp;MIN(15,C608+'Calculator'!$B$6)</x:f>
        <x:v>14/8/14</x:v>
      </x:c>
    </x:row>
    <x:row r="609">
      <x:c r="A609" t="n">
        <x:v>12</x:v>
      </x:c>
      <x:c r="B609" t="n">
        <x:v>6</x:v>
      </x:c>
      <x:c r="C609" t="n">
        <x:v>13</x:v>
      </x:c>
      <x:c r="D609" t="n">
        <x:f>MAX(10,ROUNDDOWN((('Calculator'!$B$10+A609)*SQRT('Calculator'!$B$11+B609)*SQRT('Calculator'!$B$12+C609)*0.59740001^2)/10,0))</x:f>
        <x:v>2300</x:v>
      </x:c>
      <x:c r="E609" t="n">
        <x:f>MAX(10,ROUNDDOWN((('Calculator'!$B$10+A609)*SQRT('Calculator'!$B$11+B609)*SQRT('Calculator'!$B$12+C609)*0.667934^2)/10,0))</x:f>
        <x:v>2875</x:v>
      </x:c>
      <x:c r="F609" t="n">
        <x:f>--AND(A609&gt;='Calculator'!$B$5,B609&gt;='Calculator'!$B$5,C609&gt;='Calculator'!$B$5)</x:f>
        <x:v>1</x:v>
      </x:c>
      <x:c r="G609" t="n">
        <x:f>--AND(A609+'Calculator'!$B$6&gt;=15,B609+'Calculator'!$B$6&gt;=15,C609+'Calculator'!$B$6&gt;=15)</x:f>
        <x:v>0</x:v>
      </x:c>
      <x:c r="H609" t="n">
        <x:f>--AND(F609=1,D609='Calculator'!$B$4)</x:f>
        <x:v>0</x:v>
      </x:c>
      <x:c r="I609" t="n">
        <x:f>--AND(H609=1,G609=1)</x:f>
        <x:v>0</x:v>
      </x:c>
      <x:c r="J609" t="n">
        <x:f>--AND(F609=1,E609='Calculator'!$B$4)</x:f>
        <x:v>0</x:v>
      </x:c>
      <x:c r="K609" t="n">
        <x:f>--AND(J609=1,G609=1)</x:f>
        <x:v>0</x:v>
      </x:c>
      <x:c r="L609" t="str">
        <x:f>A609&amp;"/"&amp;B609&amp;"/"&amp;C609</x:f>
        <x:v>12/6/13</x:v>
      </x:c>
      <x:c r="M609" t="str">
        <x:f>MIN(15,A609+'Calculator'!$B$6)&amp;"/"&amp;MIN(15,B609+'Calculator'!$B$6)&amp;"/"&amp;MIN(15,C609+'Calculator'!$B$6)</x:f>
        <x:v>14/8/15</x:v>
      </x:c>
    </x:row>
    <x:row r="610">
      <x:c r="A610" t="n">
        <x:v>12</x:v>
      </x:c>
      <x:c r="B610" t="n">
        <x:v>6</x:v>
      </x:c>
      <x:c r="C610" t="n">
        <x:v>14</x:v>
      </x:c>
      <x:c r="D610" t="n">
        <x:f>MAX(10,ROUNDDOWN((('Calculator'!$B$10+A610)*SQRT('Calculator'!$B$11+B610)*SQRT('Calculator'!$B$12+C610)*0.59740001^2)/10,0))</x:f>
        <x:v>2305</x:v>
      </x:c>
      <x:c r="E610" t="n">
        <x:f>MAX(10,ROUNDDOWN((('Calculator'!$B$10+A610)*SQRT('Calculator'!$B$11+B610)*SQRT('Calculator'!$B$12+C610)*0.667934^2)/10,0))</x:f>
        <x:v>2881</x:v>
      </x:c>
      <x:c r="F610" t="n">
        <x:f>--AND(A610&gt;='Calculator'!$B$5,B610&gt;='Calculator'!$B$5,C610&gt;='Calculator'!$B$5)</x:f>
        <x:v>1</x:v>
      </x:c>
      <x:c r="G610" t="n">
        <x:f>--AND(A610+'Calculator'!$B$6&gt;=15,B610+'Calculator'!$B$6&gt;=15,C610+'Calculator'!$B$6&gt;=15)</x:f>
        <x:v>0</x:v>
      </x:c>
      <x:c r="H610" t="n">
        <x:f>--AND(F610=1,D610='Calculator'!$B$4)</x:f>
        <x:v>0</x:v>
      </x:c>
      <x:c r="I610" t="n">
        <x:f>--AND(H610=1,G610=1)</x:f>
        <x:v>0</x:v>
      </x:c>
      <x:c r="J610" t="n">
        <x:f>--AND(F610=1,E610='Calculator'!$B$4)</x:f>
        <x:v>0</x:v>
      </x:c>
      <x:c r="K610" t="n">
        <x:f>--AND(J610=1,G610=1)</x:f>
        <x:v>0</x:v>
      </x:c>
      <x:c r="L610" t="str">
        <x:f>A610&amp;"/"&amp;B610&amp;"/"&amp;C610</x:f>
        <x:v>12/6/14</x:v>
      </x:c>
      <x:c r="M610" t="str">
        <x:f>MIN(15,A610+'Calculator'!$B$6)&amp;"/"&amp;MIN(15,B610+'Calculator'!$B$6)&amp;"/"&amp;MIN(15,C610+'Calculator'!$B$6)</x:f>
        <x:v>14/8/15</x:v>
      </x:c>
    </x:row>
    <x:row r="611">
      <x:c r="A611" t="n">
        <x:v>12</x:v>
      </x:c>
      <x:c r="B611" t="n">
        <x:v>6</x:v>
      </x:c>
      <x:c r="C611" t="n">
        <x:v>15</x:v>
      </x:c>
      <x:c r="D611" t="n">
        <x:f>MAX(10,ROUNDDOWN((('Calculator'!$B$10+A611)*SQRT('Calculator'!$B$11+B611)*SQRT('Calculator'!$B$12+C611)*0.59740001^2)/10,0))</x:f>
        <x:v>2310</x:v>
      </x:c>
      <x:c r="E611" t="n">
        <x:f>MAX(10,ROUNDDOWN((('Calculator'!$B$10+A611)*SQRT('Calculator'!$B$11+B611)*SQRT('Calculator'!$B$12+C611)*0.667934^2)/10,0))</x:f>
        <x:v>2888</x:v>
      </x:c>
      <x:c r="F611" t="n">
        <x:f>--AND(A611&gt;='Calculator'!$B$5,B611&gt;='Calculator'!$B$5,C611&gt;='Calculator'!$B$5)</x:f>
        <x:v>1</x:v>
      </x:c>
      <x:c r="G611" t="n">
        <x:f>--AND(A611+'Calculator'!$B$6&gt;=15,B611+'Calculator'!$B$6&gt;=15,C611+'Calculator'!$B$6&gt;=15)</x:f>
        <x:v>0</x:v>
      </x:c>
      <x:c r="H611" t="n">
        <x:f>--AND(F611=1,D611='Calculator'!$B$4)</x:f>
        <x:v>0</x:v>
      </x:c>
      <x:c r="I611" t="n">
        <x:f>--AND(H611=1,G611=1)</x:f>
        <x:v>0</x:v>
      </x:c>
      <x:c r="J611" t="n">
        <x:f>--AND(F611=1,E611='Calculator'!$B$4)</x:f>
        <x:v>0</x:v>
      </x:c>
      <x:c r="K611" t="n">
        <x:f>--AND(J611=1,G611=1)</x:f>
        <x:v>0</x:v>
      </x:c>
      <x:c r="L611" t="str">
        <x:f>A611&amp;"/"&amp;B611&amp;"/"&amp;C611</x:f>
        <x:v>12/6/15</x:v>
      </x:c>
      <x:c r="M611" t="str">
        <x:f>MIN(15,A611+'Calculator'!$B$6)&amp;"/"&amp;MIN(15,B611+'Calculator'!$B$6)&amp;"/"&amp;MIN(15,C611+'Calculator'!$B$6)</x:f>
        <x:v>14/8/15</x:v>
      </x:c>
    </x:row>
    <x:row r="612">
      <x:c r="A612" t="n">
        <x:v>12</x:v>
      </x:c>
      <x:c r="B612" t="n">
        <x:v>7</x:v>
      </x:c>
      <x:c r="C612" t="n">
        <x:v>6</x:v>
      </x:c>
      <x:c r="D612" t="n">
        <x:f>MAX(10,ROUNDDOWN((('Calculator'!$B$10+A612)*SQRT('Calculator'!$B$11+B612)*SQRT('Calculator'!$B$12+C612)*0.59740001^2)/10,0))</x:f>
        <x:v>2270</x:v>
      </x:c>
      <x:c r="E612" t="n">
        <x:f>MAX(10,ROUNDDOWN((('Calculator'!$B$10+A612)*SQRT('Calculator'!$B$11+B612)*SQRT('Calculator'!$B$12+C612)*0.667934^2)/10,0))</x:f>
        <x:v>2838</x:v>
      </x:c>
      <x:c r="F612" t="n">
        <x:f>--AND(A612&gt;='Calculator'!$B$5,B612&gt;='Calculator'!$B$5,C612&gt;='Calculator'!$B$5)</x:f>
        <x:v>1</x:v>
      </x:c>
      <x:c r="G612" t="n">
        <x:f>--AND(A612+'Calculator'!$B$6&gt;=15,B612+'Calculator'!$B$6&gt;=15,C612+'Calculator'!$B$6&gt;=15)</x:f>
        <x:v>0</x:v>
      </x:c>
      <x:c r="H612" t="n">
        <x:f>--AND(F612=1,D612='Calculator'!$B$4)</x:f>
        <x:v>0</x:v>
      </x:c>
      <x:c r="I612" t="n">
        <x:f>--AND(H612=1,G612=1)</x:f>
        <x:v>0</x:v>
      </x:c>
      <x:c r="J612" t="n">
        <x:f>--AND(F612=1,E612='Calculator'!$B$4)</x:f>
        <x:v>0</x:v>
      </x:c>
      <x:c r="K612" t="n">
        <x:f>--AND(J612=1,G612=1)</x:f>
        <x:v>0</x:v>
      </x:c>
      <x:c r="L612" t="str">
        <x:f>A612&amp;"/"&amp;B612&amp;"/"&amp;C612</x:f>
        <x:v>12/7/6</x:v>
      </x:c>
      <x:c r="M612" t="str">
        <x:f>MIN(15,A612+'Calculator'!$B$6)&amp;"/"&amp;MIN(15,B612+'Calculator'!$B$6)&amp;"/"&amp;MIN(15,C612+'Calculator'!$B$6)</x:f>
        <x:v>14/9/8</x:v>
      </x:c>
    </x:row>
    <x:row r="613">
      <x:c r="A613" t="n">
        <x:v>12</x:v>
      </x:c>
      <x:c r="B613" t="n">
        <x:v>7</x:v>
      </x:c>
      <x:c r="C613" t="n">
        <x:v>7</x:v>
      </x:c>
      <x:c r="D613" t="n">
        <x:f>MAX(10,ROUNDDOWN((('Calculator'!$B$10+A613)*SQRT('Calculator'!$B$11+B613)*SQRT('Calculator'!$B$12+C613)*0.59740001^2)/10,0))</x:f>
        <x:v>2275</x:v>
      </x:c>
      <x:c r="E613" t="n">
        <x:f>MAX(10,ROUNDDOWN((('Calculator'!$B$10+A613)*SQRT('Calculator'!$B$11+B613)*SQRT('Calculator'!$B$12+C613)*0.667934^2)/10,0))</x:f>
        <x:v>2844</x:v>
      </x:c>
      <x:c r="F613" t="n">
        <x:f>--AND(A613&gt;='Calculator'!$B$5,B613&gt;='Calculator'!$B$5,C613&gt;='Calculator'!$B$5)</x:f>
        <x:v>1</x:v>
      </x:c>
      <x:c r="G613" t="n">
        <x:f>--AND(A613+'Calculator'!$B$6&gt;=15,B613+'Calculator'!$B$6&gt;=15,C613+'Calculator'!$B$6&gt;=15)</x:f>
        <x:v>0</x:v>
      </x:c>
      <x:c r="H613" t="n">
        <x:f>--AND(F613=1,D613='Calculator'!$B$4)</x:f>
        <x:v>0</x:v>
      </x:c>
      <x:c r="I613" t="n">
        <x:f>--AND(H613=1,G613=1)</x:f>
        <x:v>0</x:v>
      </x:c>
      <x:c r="J613" t="n">
        <x:f>--AND(F613=1,E613='Calculator'!$B$4)</x:f>
        <x:v>0</x:v>
      </x:c>
      <x:c r="K613" t="n">
        <x:f>--AND(J613=1,G613=1)</x:f>
        <x:v>0</x:v>
      </x:c>
      <x:c r="L613" t="str">
        <x:f>A613&amp;"/"&amp;B613&amp;"/"&amp;C613</x:f>
        <x:v>12/7/7</x:v>
      </x:c>
      <x:c r="M613" t="str">
        <x:f>MIN(15,A613+'Calculator'!$B$6)&amp;"/"&amp;MIN(15,B613+'Calculator'!$B$6)&amp;"/"&amp;MIN(15,C613+'Calculator'!$B$6)</x:f>
        <x:v>14/9/9</x:v>
      </x:c>
    </x:row>
    <x:row r="614">
      <x:c r="A614" t="n">
        <x:v>12</x:v>
      </x:c>
      <x:c r="B614" t="n">
        <x:v>7</x:v>
      </x:c>
      <x:c r="C614" t="n">
        <x:v>8</x:v>
      </x:c>
      <x:c r="D614" t="n">
        <x:f>MAX(10,ROUNDDOWN((('Calculator'!$B$10+A614)*SQRT('Calculator'!$B$11+B614)*SQRT('Calculator'!$B$12+C614)*0.59740001^2)/10,0))</x:f>
        <x:v>2280</x:v>
      </x:c>
      <x:c r="E614" t="n">
        <x:f>MAX(10,ROUNDDOWN((('Calculator'!$B$10+A614)*SQRT('Calculator'!$B$11+B614)*SQRT('Calculator'!$B$12+C614)*0.667934^2)/10,0))</x:f>
        <x:v>2851</x:v>
      </x:c>
      <x:c r="F614" t="n">
        <x:f>--AND(A614&gt;='Calculator'!$B$5,B614&gt;='Calculator'!$B$5,C614&gt;='Calculator'!$B$5)</x:f>
        <x:v>1</x:v>
      </x:c>
      <x:c r="G614" t="n">
        <x:f>--AND(A614+'Calculator'!$B$6&gt;=15,B614+'Calculator'!$B$6&gt;=15,C614+'Calculator'!$B$6&gt;=15)</x:f>
        <x:v>0</x:v>
      </x:c>
      <x:c r="H614" t="n">
        <x:f>--AND(F614=1,D614='Calculator'!$B$4)</x:f>
        <x:v>0</x:v>
      </x:c>
      <x:c r="I614" t="n">
        <x:f>--AND(H614=1,G614=1)</x:f>
        <x:v>0</x:v>
      </x:c>
      <x:c r="J614" t="n">
        <x:f>--AND(F614=1,E614='Calculator'!$B$4)</x:f>
        <x:v>0</x:v>
      </x:c>
      <x:c r="K614" t="n">
        <x:f>--AND(J614=1,G614=1)</x:f>
        <x:v>0</x:v>
      </x:c>
      <x:c r="L614" t="str">
        <x:f>A614&amp;"/"&amp;B614&amp;"/"&amp;C614</x:f>
        <x:v>12/7/8</x:v>
      </x:c>
      <x:c r="M614" t="str">
        <x:f>MIN(15,A614+'Calculator'!$B$6)&amp;"/"&amp;MIN(15,B614+'Calculator'!$B$6)&amp;"/"&amp;MIN(15,C614+'Calculator'!$B$6)</x:f>
        <x:v>14/9/10</x:v>
      </x:c>
    </x:row>
    <x:row r="615">
      <x:c r="A615" t="n">
        <x:v>12</x:v>
      </x:c>
      <x:c r="B615" t="n">
        <x:v>7</x:v>
      </x:c>
      <x:c r="C615" t="n">
        <x:v>9</x:v>
      </x:c>
      <x:c r="D615" t="n">
        <x:f>MAX(10,ROUNDDOWN((('Calculator'!$B$10+A615)*SQRT('Calculator'!$B$11+B615)*SQRT('Calculator'!$B$12+C615)*0.59740001^2)/10,0))</x:f>
        <x:v>2285</x:v>
      </x:c>
      <x:c r="E615" t="n">
        <x:f>MAX(10,ROUNDDOWN((('Calculator'!$B$10+A615)*SQRT('Calculator'!$B$11+B615)*SQRT('Calculator'!$B$12+C615)*0.667934^2)/10,0))</x:f>
        <x:v>2857</x:v>
      </x:c>
      <x:c r="F615" t="n">
        <x:f>--AND(A615&gt;='Calculator'!$B$5,B615&gt;='Calculator'!$B$5,C615&gt;='Calculator'!$B$5)</x:f>
        <x:v>1</x:v>
      </x:c>
      <x:c r="G615" t="n">
        <x:f>--AND(A615+'Calculator'!$B$6&gt;=15,B615+'Calculator'!$B$6&gt;=15,C615+'Calculator'!$B$6&gt;=15)</x:f>
        <x:v>0</x:v>
      </x:c>
      <x:c r="H615" t="n">
        <x:f>--AND(F615=1,D615='Calculator'!$B$4)</x:f>
        <x:v>0</x:v>
      </x:c>
      <x:c r="I615" t="n">
        <x:f>--AND(H615=1,G615=1)</x:f>
        <x:v>0</x:v>
      </x:c>
      <x:c r="J615" t="n">
        <x:f>--AND(F615=1,E615='Calculator'!$B$4)</x:f>
        <x:v>0</x:v>
      </x:c>
      <x:c r="K615" t="n">
        <x:f>--AND(J615=1,G615=1)</x:f>
        <x:v>0</x:v>
      </x:c>
      <x:c r="L615" t="str">
        <x:f>A615&amp;"/"&amp;B615&amp;"/"&amp;C615</x:f>
        <x:v>12/7/9</x:v>
      </x:c>
      <x:c r="M615" t="str">
        <x:f>MIN(15,A615+'Calculator'!$B$6)&amp;"/"&amp;MIN(15,B615+'Calculator'!$B$6)&amp;"/"&amp;MIN(15,C615+'Calculator'!$B$6)</x:f>
        <x:v>14/9/11</x:v>
      </x:c>
    </x:row>
    <x:row r="616">
      <x:c r="A616" t="n">
        <x:v>12</x:v>
      </x:c>
      <x:c r="B616" t="n">
        <x:v>7</x:v>
      </x:c>
      <x:c r="C616" t="n">
        <x:v>10</x:v>
      </x:c>
      <x:c r="D616" t="n">
        <x:f>MAX(10,ROUNDDOWN((('Calculator'!$B$10+A616)*SQRT('Calculator'!$B$11+B616)*SQRT('Calculator'!$B$12+C616)*0.59740001^2)/10,0))</x:f>
        <x:v>2291</x:v>
      </x:c>
      <x:c r="E616" t="n">
        <x:f>MAX(10,ROUNDDOWN((('Calculator'!$B$10+A616)*SQRT('Calculator'!$B$11+B616)*SQRT('Calculator'!$B$12+C616)*0.667934^2)/10,0))</x:f>
        <x:v>2864</x:v>
      </x:c>
      <x:c r="F616" t="n">
        <x:f>--AND(A616&gt;='Calculator'!$B$5,B616&gt;='Calculator'!$B$5,C616&gt;='Calculator'!$B$5)</x:f>
        <x:v>1</x:v>
      </x:c>
      <x:c r="G616" t="n">
        <x:f>--AND(A616+'Calculator'!$B$6&gt;=15,B616+'Calculator'!$B$6&gt;=15,C616+'Calculator'!$B$6&gt;=15)</x:f>
        <x:v>0</x:v>
      </x:c>
      <x:c r="H616" t="n">
        <x:f>--AND(F616=1,D616='Calculator'!$B$4)</x:f>
        <x:v>0</x:v>
      </x:c>
      <x:c r="I616" t="n">
        <x:f>--AND(H616=1,G616=1)</x:f>
        <x:v>0</x:v>
      </x:c>
      <x:c r="J616" t="n">
        <x:f>--AND(F616=1,E616='Calculator'!$B$4)</x:f>
        <x:v>0</x:v>
      </x:c>
      <x:c r="K616" t="n">
        <x:f>--AND(J616=1,G616=1)</x:f>
        <x:v>0</x:v>
      </x:c>
      <x:c r="L616" t="str">
        <x:f>A616&amp;"/"&amp;B616&amp;"/"&amp;C616</x:f>
        <x:v>12/7/10</x:v>
      </x:c>
      <x:c r="M616" t="str">
        <x:f>MIN(15,A616+'Calculator'!$B$6)&amp;"/"&amp;MIN(15,B616+'Calculator'!$B$6)&amp;"/"&amp;MIN(15,C616+'Calculator'!$B$6)</x:f>
        <x:v>14/9/12</x:v>
      </x:c>
    </x:row>
    <x:row r="617">
      <x:c r="A617" t="n">
        <x:v>12</x:v>
      </x:c>
      <x:c r="B617" t="n">
        <x:v>7</x:v>
      </x:c>
      <x:c r="C617" t="n">
        <x:v>11</x:v>
      </x:c>
      <x:c r="D617" t="n">
        <x:f>MAX(10,ROUNDDOWN((('Calculator'!$B$10+A617)*SQRT('Calculator'!$B$11+B617)*SQRT('Calculator'!$B$12+C617)*0.59740001^2)/10,0))</x:f>
        <x:v>2296</x:v>
      </x:c>
      <x:c r="E617" t="n">
        <x:f>MAX(10,ROUNDDOWN((('Calculator'!$B$10+A617)*SQRT('Calculator'!$B$11+B617)*SQRT('Calculator'!$B$12+C617)*0.667934^2)/10,0))</x:f>
        <x:v>2870</x:v>
      </x:c>
      <x:c r="F617" t="n">
        <x:f>--AND(A617&gt;='Calculator'!$B$5,B617&gt;='Calculator'!$B$5,C617&gt;='Calculator'!$B$5)</x:f>
        <x:v>1</x:v>
      </x:c>
      <x:c r="G617" t="n">
        <x:f>--AND(A617+'Calculator'!$B$6&gt;=15,B617+'Calculator'!$B$6&gt;=15,C617+'Calculator'!$B$6&gt;=15)</x:f>
        <x:v>0</x:v>
      </x:c>
      <x:c r="H617" t="n">
        <x:f>--AND(F617=1,D617='Calculator'!$B$4)</x:f>
        <x:v>0</x:v>
      </x:c>
      <x:c r="I617" t="n">
        <x:f>--AND(H617=1,G617=1)</x:f>
        <x:v>0</x:v>
      </x:c>
      <x:c r="J617" t="n">
        <x:f>--AND(F617=1,E617='Calculator'!$B$4)</x:f>
        <x:v>0</x:v>
      </x:c>
      <x:c r="K617" t="n">
        <x:f>--AND(J617=1,G617=1)</x:f>
        <x:v>0</x:v>
      </x:c>
      <x:c r="L617" t="str">
        <x:f>A617&amp;"/"&amp;B617&amp;"/"&amp;C617</x:f>
        <x:v>12/7/11</x:v>
      </x:c>
      <x:c r="M617" t="str">
        <x:f>MIN(15,A617+'Calculator'!$B$6)&amp;"/"&amp;MIN(15,B617+'Calculator'!$B$6)&amp;"/"&amp;MIN(15,C617+'Calculator'!$B$6)</x:f>
        <x:v>14/9/13</x:v>
      </x:c>
    </x:row>
    <x:row r="618">
      <x:c r="A618" t="n">
        <x:v>12</x:v>
      </x:c>
      <x:c r="B618" t="n">
        <x:v>7</x:v>
      </x:c>
      <x:c r="C618" t="n">
        <x:v>12</x:v>
      </x:c>
      <x:c r="D618" t="n">
        <x:f>MAX(10,ROUNDDOWN((('Calculator'!$B$10+A618)*SQRT('Calculator'!$B$11+B618)*SQRT('Calculator'!$B$12+C618)*0.59740001^2)/10,0))</x:f>
        <x:v>2301</x:v>
      </x:c>
      <x:c r="E618" t="n">
        <x:f>MAX(10,ROUNDDOWN((('Calculator'!$B$10+A618)*SQRT('Calculator'!$B$11+B618)*SQRT('Calculator'!$B$12+C618)*0.667934^2)/10,0))</x:f>
        <x:v>2876</x:v>
      </x:c>
      <x:c r="F618" t="n">
        <x:f>--AND(A618&gt;='Calculator'!$B$5,B618&gt;='Calculator'!$B$5,C618&gt;='Calculator'!$B$5)</x:f>
        <x:v>1</x:v>
      </x:c>
      <x:c r="G618" t="n">
        <x:f>--AND(A618+'Calculator'!$B$6&gt;=15,B618+'Calculator'!$B$6&gt;=15,C618+'Calculator'!$B$6&gt;=15)</x:f>
        <x:v>0</x:v>
      </x:c>
      <x:c r="H618" t="n">
        <x:f>--AND(F618=1,D618='Calculator'!$B$4)</x:f>
        <x:v>0</x:v>
      </x:c>
      <x:c r="I618" t="n">
        <x:f>--AND(H618=1,G618=1)</x:f>
        <x:v>0</x:v>
      </x:c>
      <x:c r="J618" t="n">
        <x:f>--AND(F618=1,E618='Calculator'!$B$4)</x:f>
        <x:v>0</x:v>
      </x:c>
      <x:c r="K618" t="n">
        <x:f>--AND(J618=1,G618=1)</x:f>
        <x:v>0</x:v>
      </x:c>
      <x:c r="L618" t="str">
        <x:f>A618&amp;"/"&amp;B618&amp;"/"&amp;C618</x:f>
        <x:v>12/7/12</x:v>
      </x:c>
      <x:c r="M618" t="str">
        <x:f>MIN(15,A618+'Calculator'!$B$6)&amp;"/"&amp;MIN(15,B618+'Calculator'!$B$6)&amp;"/"&amp;MIN(15,C618+'Calculator'!$B$6)</x:f>
        <x:v>14/9/14</x:v>
      </x:c>
    </x:row>
    <x:row r="619">
      <x:c r="A619" t="n">
        <x:v>12</x:v>
      </x:c>
      <x:c r="B619" t="n">
        <x:v>7</x:v>
      </x:c>
      <x:c r="C619" t="n">
        <x:v>13</x:v>
      </x:c>
      <x:c r="D619" t="n">
        <x:f>MAX(10,ROUNDDOWN((('Calculator'!$B$10+A619)*SQRT('Calculator'!$B$11+B619)*SQRT('Calculator'!$B$12+C619)*0.59740001^2)/10,0))</x:f>
        <x:v>2306</x:v>
      </x:c>
      <x:c r="E619" t="n">
        <x:f>MAX(10,ROUNDDOWN((('Calculator'!$B$10+A619)*SQRT('Calculator'!$B$11+B619)*SQRT('Calculator'!$B$12+C619)*0.667934^2)/10,0))</x:f>
        <x:v>2883</x:v>
      </x:c>
      <x:c r="F619" t="n">
        <x:f>--AND(A619&gt;='Calculator'!$B$5,B619&gt;='Calculator'!$B$5,C619&gt;='Calculator'!$B$5)</x:f>
        <x:v>1</x:v>
      </x:c>
      <x:c r="G619" t="n">
        <x:f>--AND(A619+'Calculator'!$B$6&gt;=15,B619+'Calculator'!$B$6&gt;=15,C619+'Calculator'!$B$6&gt;=15)</x:f>
        <x:v>0</x:v>
      </x:c>
      <x:c r="H619" t="n">
        <x:f>--AND(F619=1,D619='Calculator'!$B$4)</x:f>
        <x:v>0</x:v>
      </x:c>
      <x:c r="I619" t="n">
        <x:f>--AND(H619=1,G619=1)</x:f>
        <x:v>0</x:v>
      </x:c>
      <x:c r="J619" t="n">
        <x:f>--AND(F619=1,E619='Calculator'!$B$4)</x:f>
        <x:v>0</x:v>
      </x:c>
      <x:c r="K619" t="n">
        <x:f>--AND(J619=1,G619=1)</x:f>
        <x:v>0</x:v>
      </x:c>
      <x:c r="L619" t="str">
        <x:f>A619&amp;"/"&amp;B619&amp;"/"&amp;C619</x:f>
        <x:v>12/7/13</x:v>
      </x:c>
      <x:c r="M619" t="str">
        <x:f>MIN(15,A619+'Calculator'!$B$6)&amp;"/"&amp;MIN(15,B619+'Calculator'!$B$6)&amp;"/"&amp;MIN(15,C619+'Calculator'!$B$6)</x:f>
        <x:v>14/9/15</x:v>
      </x:c>
    </x:row>
    <x:row r="620">
      <x:c r="A620" t="n">
        <x:v>12</x:v>
      </x:c>
      <x:c r="B620" t="n">
        <x:v>7</x:v>
      </x:c>
      <x:c r="C620" t="n">
        <x:v>14</x:v>
      </x:c>
      <x:c r="D620" t="n">
        <x:f>MAX(10,ROUNDDOWN((('Calculator'!$B$10+A620)*SQRT('Calculator'!$B$11+B620)*SQRT('Calculator'!$B$12+C620)*0.59740001^2)/10,0))</x:f>
        <x:v>2311</x:v>
      </x:c>
      <x:c r="E620" t="n">
        <x:f>MAX(10,ROUNDDOWN((('Calculator'!$B$10+A620)*SQRT('Calculator'!$B$11+B620)*SQRT('Calculator'!$B$12+C620)*0.667934^2)/10,0))</x:f>
        <x:v>2889</x:v>
      </x:c>
      <x:c r="F620" t="n">
        <x:f>--AND(A620&gt;='Calculator'!$B$5,B620&gt;='Calculator'!$B$5,C620&gt;='Calculator'!$B$5)</x:f>
        <x:v>1</x:v>
      </x:c>
      <x:c r="G620" t="n">
        <x:f>--AND(A620+'Calculator'!$B$6&gt;=15,B620+'Calculator'!$B$6&gt;=15,C620+'Calculator'!$B$6&gt;=15)</x:f>
        <x:v>0</x:v>
      </x:c>
      <x:c r="H620" t="n">
        <x:f>--AND(F620=1,D620='Calculator'!$B$4)</x:f>
        <x:v>0</x:v>
      </x:c>
      <x:c r="I620" t="n">
        <x:f>--AND(H620=1,G620=1)</x:f>
        <x:v>0</x:v>
      </x:c>
      <x:c r="J620" t="n">
        <x:f>--AND(F620=1,E620='Calculator'!$B$4)</x:f>
        <x:v>0</x:v>
      </x:c>
      <x:c r="K620" t="n">
        <x:f>--AND(J620=1,G620=1)</x:f>
        <x:v>0</x:v>
      </x:c>
      <x:c r="L620" t="str">
        <x:f>A620&amp;"/"&amp;B620&amp;"/"&amp;C620</x:f>
        <x:v>12/7/14</x:v>
      </x:c>
      <x:c r="M620" t="str">
        <x:f>MIN(15,A620+'Calculator'!$B$6)&amp;"/"&amp;MIN(15,B620+'Calculator'!$B$6)&amp;"/"&amp;MIN(15,C620+'Calculator'!$B$6)</x:f>
        <x:v>14/9/15</x:v>
      </x:c>
    </x:row>
    <x:row r="621">
      <x:c r="A621" t="n">
        <x:v>12</x:v>
      </x:c>
      <x:c r="B621" t="n">
        <x:v>7</x:v>
      </x:c>
      <x:c r="C621" t="n">
        <x:v>15</x:v>
      </x:c>
      <x:c r="D621" t="n">
        <x:f>MAX(10,ROUNDDOWN((('Calculator'!$B$10+A621)*SQRT('Calculator'!$B$11+B621)*SQRT('Calculator'!$B$12+C621)*0.59740001^2)/10,0))</x:f>
        <x:v>2316</x:v>
      </x:c>
      <x:c r="E621" t="n">
        <x:f>MAX(10,ROUNDDOWN((('Calculator'!$B$10+A621)*SQRT('Calculator'!$B$11+B621)*SQRT('Calculator'!$B$12+C621)*0.667934^2)/10,0))</x:f>
        <x:v>2895</x:v>
      </x:c>
      <x:c r="F621" t="n">
        <x:f>--AND(A621&gt;='Calculator'!$B$5,B621&gt;='Calculator'!$B$5,C621&gt;='Calculator'!$B$5)</x:f>
        <x:v>1</x:v>
      </x:c>
      <x:c r="G621" t="n">
        <x:f>--AND(A621+'Calculator'!$B$6&gt;=15,B621+'Calculator'!$B$6&gt;=15,C621+'Calculator'!$B$6&gt;=15)</x:f>
        <x:v>0</x:v>
      </x:c>
      <x:c r="H621" t="n">
        <x:f>--AND(F621=1,D621='Calculator'!$B$4)</x:f>
        <x:v>0</x:v>
      </x:c>
      <x:c r="I621" t="n">
        <x:f>--AND(H621=1,G621=1)</x:f>
        <x:v>0</x:v>
      </x:c>
      <x:c r="J621" t="n">
        <x:f>--AND(F621=1,E621='Calculator'!$B$4)</x:f>
        <x:v>0</x:v>
      </x:c>
      <x:c r="K621" t="n">
        <x:f>--AND(J621=1,G621=1)</x:f>
        <x:v>0</x:v>
      </x:c>
      <x:c r="L621" t="str">
        <x:f>A621&amp;"/"&amp;B621&amp;"/"&amp;C621</x:f>
        <x:v>12/7/15</x:v>
      </x:c>
      <x:c r="M621" t="str">
        <x:f>MIN(15,A621+'Calculator'!$B$6)&amp;"/"&amp;MIN(15,B621+'Calculator'!$B$6)&amp;"/"&amp;MIN(15,C621+'Calculator'!$B$6)</x:f>
        <x:v>14/9/15</x:v>
      </x:c>
    </x:row>
    <x:row r="622">
      <x:c r="A622" t="n">
        <x:v>12</x:v>
      </x:c>
      <x:c r="B622" t="n">
        <x:v>8</x:v>
      </x:c>
      <x:c r="C622" t="n">
        <x:v>6</x:v>
      </x:c>
      <x:c r="D622" t="n">
        <x:f>MAX(10,ROUNDDOWN((('Calculator'!$B$10+A622)*SQRT('Calculator'!$B$11+B622)*SQRT('Calculator'!$B$12+C622)*0.59740001^2)/10,0))</x:f>
        <x:v>2276</x:v>
      </x:c>
      <x:c r="E622" t="n">
        <x:f>MAX(10,ROUNDDOWN((('Calculator'!$B$10+A622)*SQRT('Calculator'!$B$11+B622)*SQRT('Calculator'!$B$12+C622)*0.667934^2)/10,0))</x:f>
        <x:v>2845</x:v>
      </x:c>
      <x:c r="F622" t="n">
        <x:f>--AND(A622&gt;='Calculator'!$B$5,B622&gt;='Calculator'!$B$5,C622&gt;='Calculator'!$B$5)</x:f>
        <x:v>1</x:v>
      </x:c>
      <x:c r="G622" t="n">
        <x:f>--AND(A622+'Calculator'!$B$6&gt;=15,B622+'Calculator'!$B$6&gt;=15,C622+'Calculator'!$B$6&gt;=15)</x:f>
        <x:v>0</x:v>
      </x:c>
      <x:c r="H622" t="n">
        <x:f>--AND(F622=1,D622='Calculator'!$B$4)</x:f>
        <x:v>0</x:v>
      </x:c>
      <x:c r="I622" t="n">
        <x:f>--AND(H622=1,G622=1)</x:f>
        <x:v>0</x:v>
      </x:c>
      <x:c r="J622" t="n">
        <x:f>--AND(F622=1,E622='Calculator'!$B$4)</x:f>
        <x:v>0</x:v>
      </x:c>
      <x:c r="K622" t="n">
        <x:f>--AND(J622=1,G622=1)</x:f>
        <x:v>0</x:v>
      </x:c>
      <x:c r="L622" t="str">
        <x:f>A622&amp;"/"&amp;B622&amp;"/"&amp;C622</x:f>
        <x:v>12/8/6</x:v>
      </x:c>
      <x:c r="M622" t="str">
        <x:f>MIN(15,A622+'Calculator'!$B$6)&amp;"/"&amp;MIN(15,B622+'Calculator'!$B$6)&amp;"/"&amp;MIN(15,C622+'Calculator'!$B$6)</x:f>
        <x:v>14/10/8</x:v>
      </x:c>
    </x:row>
    <x:row r="623">
      <x:c r="A623" t="n">
        <x:v>12</x:v>
      </x:c>
      <x:c r="B623" t="n">
        <x:v>8</x:v>
      </x:c>
      <x:c r="C623" t="n">
        <x:v>7</x:v>
      </x:c>
      <x:c r="D623" t="n">
        <x:f>MAX(10,ROUNDDOWN((('Calculator'!$B$10+A623)*SQRT('Calculator'!$B$11+B623)*SQRT('Calculator'!$B$12+C623)*0.59740001^2)/10,0))</x:f>
        <x:v>2281</x:v>
      </x:c>
      <x:c r="E623" t="n">
        <x:f>MAX(10,ROUNDDOWN((('Calculator'!$B$10+A623)*SQRT('Calculator'!$B$11+B623)*SQRT('Calculator'!$B$12+C623)*0.667934^2)/10,0))</x:f>
        <x:v>2852</x:v>
      </x:c>
      <x:c r="F623" t="n">
        <x:f>--AND(A623&gt;='Calculator'!$B$5,B623&gt;='Calculator'!$B$5,C623&gt;='Calculator'!$B$5)</x:f>
        <x:v>1</x:v>
      </x:c>
      <x:c r="G623" t="n">
        <x:f>--AND(A623+'Calculator'!$B$6&gt;=15,B623+'Calculator'!$B$6&gt;=15,C623+'Calculator'!$B$6&gt;=15)</x:f>
        <x:v>0</x:v>
      </x:c>
      <x:c r="H623" t="n">
        <x:f>--AND(F623=1,D623='Calculator'!$B$4)</x:f>
        <x:v>0</x:v>
      </x:c>
      <x:c r="I623" t="n">
        <x:f>--AND(H623=1,G623=1)</x:f>
        <x:v>0</x:v>
      </x:c>
      <x:c r="J623" t="n">
        <x:f>--AND(F623=1,E623='Calculator'!$B$4)</x:f>
        <x:v>0</x:v>
      </x:c>
      <x:c r="K623" t="n">
        <x:f>--AND(J623=1,G623=1)</x:f>
        <x:v>0</x:v>
      </x:c>
      <x:c r="L623" t="str">
        <x:f>A623&amp;"/"&amp;B623&amp;"/"&amp;C623</x:f>
        <x:v>12/8/7</x:v>
      </x:c>
      <x:c r="M623" t="str">
        <x:f>MIN(15,A623+'Calculator'!$B$6)&amp;"/"&amp;MIN(15,B623+'Calculator'!$B$6)&amp;"/"&amp;MIN(15,C623+'Calculator'!$B$6)</x:f>
        <x:v>14/10/9</x:v>
      </x:c>
    </x:row>
    <x:row r="624">
      <x:c r="A624" t="n">
        <x:v>12</x:v>
      </x:c>
      <x:c r="B624" t="n">
        <x:v>8</x:v>
      </x:c>
      <x:c r="C624" t="n">
        <x:v>8</x:v>
      </x:c>
      <x:c r="D624" t="n">
        <x:f>MAX(10,ROUNDDOWN((('Calculator'!$B$10+A624)*SQRT('Calculator'!$B$11+B624)*SQRT('Calculator'!$B$12+C624)*0.59740001^2)/10,0))</x:f>
        <x:v>2286</x:v>
      </x:c>
      <x:c r="E624" t="n">
        <x:f>MAX(10,ROUNDDOWN((('Calculator'!$B$10+A624)*SQRT('Calculator'!$B$11+B624)*SQRT('Calculator'!$B$12+C624)*0.667934^2)/10,0))</x:f>
        <x:v>2858</x:v>
      </x:c>
      <x:c r="F624" t="n">
        <x:f>--AND(A624&gt;='Calculator'!$B$5,B624&gt;='Calculator'!$B$5,C624&gt;='Calculator'!$B$5)</x:f>
        <x:v>1</x:v>
      </x:c>
      <x:c r="G624" t="n">
        <x:f>--AND(A624+'Calculator'!$B$6&gt;=15,B624+'Calculator'!$B$6&gt;=15,C624+'Calculator'!$B$6&gt;=15)</x:f>
        <x:v>0</x:v>
      </x:c>
      <x:c r="H624" t="n">
        <x:f>--AND(F624=1,D624='Calculator'!$B$4)</x:f>
        <x:v>0</x:v>
      </x:c>
      <x:c r="I624" t="n">
        <x:f>--AND(H624=1,G624=1)</x:f>
        <x:v>0</x:v>
      </x:c>
      <x:c r="J624" t="n">
        <x:f>--AND(F624=1,E624='Calculator'!$B$4)</x:f>
        <x:v>0</x:v>
      </x:c>
      <x:c r="K624" t="n">
        <x:f>--AND(J624=1,G624=1)</x:f>
        <x:v>0</x:v>
      </x:c>
      <x:c r="L624" t="str">
        <x:f>A624&amp;"/"&amp;B624&amp;"/"&amp;C624</x:f>
        <x:v>12/8/8</x:v>
      </x:c>
      <x:c r="M624" t="str">
        <x:f>MIN(15,A624+'Calculator'!$B$6)&amp;"/"&amp;MIN(15,B624+'Calculator'!$B$6)&amp;"/"&amp;MIN(15,C624+'Calculator'!$B$6)</x:f>
        <x:v>14/10/10</x:v>
      </x:c>
    </x:row>
    <x:row r="625">
      <x:c r="A625" t="n">
        <x:v>12</x:v>
      </x:c>
      <x:c r="B625" t="n">
        <x:v>8</x:v>
      </x:c>
      <x:c r="C625" t="n">
        <x:v>9</x:v>
      </x:c>
      <x:c r="D625" t="n">
        <x:f>MAX(10,ROUNDDOWN((('Calculator'!$B$10+A625)*SQRT('Calculator'!$B$11+B625)*SQRT('Calculator'!$B$12+C625)*0.59740001^2)/10,0))</x:f>
        <x:v>2291</x:v>
      </x:c>
      <x:c r="E625" t="n">
        <x:f>MAX(10,ROUNDDOWN((('Calculator'!$B$10+A625)*SQRT('Calculator'!$B$11+B625)*SQRT('Calculator'!$B$12+C625)*0.667934^2)/10,0))</x:f>
        <x:v>2865</x:v>
      </x:c>
      <x:c r="F625" t="n">
        <x:f>--AND(A625&gt;='Calculator'!$B$5,B625&gt;='Calculator'!$B$5,C625&gt;='Calculator'!$B$5)</x:f>
        <x:v>1</x:v>
      </x:c>
      <x:c r="G625" t="n">
        <x:f>--AND(A625+'Calculator'!$B$6&gt;=15,B625+'Calculator'!$B$6&gt;=15,C625+'Calculator'!$B$6&gt;=15)</x:f>
        <x:v>0</x:v>
      </x:c>
      <x:c r="H625" t="n">
        <x:f>--AND(F625=1,D625='Calculator'!$B$4)</x:f>
        <x:v>0</x:v>
      </x:c>
      <x:c r="I625" t="n">
        <x:f>--AND(H625=1,G625=1)</x:f>
        <x:v>0</x:v>
      </x:c>
      <x:c r="J625" t="n">
        <x:f>--AND(F625=1,E625='Calculator'!$B$4)</x:f>
        <x:v>0</x:v>
      </x:c>
      <x:c r="K625" t="n">
        <x:f>--AND(J625=1,G625=1)</x:f>
        <x:v>0</x:v>
      </x:c>
      <x:c r="L625" t="str">
        <x:f>A625&amp;"/"&amp;B625&amp;"/"&amp;C625</x:f>
        <x:v>12/8/9</x:v>
      </x:c>
      <x:c r="M625" t="str">
        <x:f>MIN(15,A625+'Calculator'!$B$6)&amp;"/"&amp;MIN(15,B625+'Calculator'!$B$6)&amp;"/"&amp;MIN(15,C625+'Calculator'!$B$6)</x:f>
        <x:v>14/10/11</x:v>
      </x:c>
    </x:row>
    <x:row r="626">
      <x:c r="A626" t="n">
        <x:v>12</x:v>
      </x:c>
      <x:c r="B626" t="n">
        <x:v>8</x:v>
      </x:c>
      <x:c r="C626" t="n">
        <x:v>10</x:v>
      </x:c>
      <x:c r="D626" t="n">
        <x:f>MAX(10,ROUNDDOWN((('Calculator'!$B$10+A626)*SQRT('Calculator'!$B$11+B626)*SQRT('Calculator'!$B$12+C626)*0.59740001^2)/10,0))</x:f>
        <x:v>2297</x:v>
      </x:c>
      <x:c r="E626" t="n">
        <x:f>MAX(10,ROUNDDOWN((('Calculator'!$B$10+A626)*SQRT('Calculator'!$B$11+B626)*SQRT('Calculator'!$B$12+C626)*0.667934^2)/10,0))</x:f>
        <x:v>2871</x:v>
      </x:c>
      <x:c r="F626" t="n">
        <x:f>--AND(A626&gt;='Calculator'!$B$5,B626&gt;='Calculator'!$B$5,C626&gt;='Calculator'!$B$5)</x:f>
        <x:v>1</x:v>
      </x:c>
      <x:c r="G626" t="n">
        <x:f>--AND(A626+'Calculator'!$B$6&gt;=15,B626+'Calculator'!$B$6&gt;=15,C626+'Calculator'!$B$6&gt;=15)</x:f>
        <x:v>0</x:v>
      </x:c>
      <x:c r="H626" t="n">
        <x:f>--AND(F626=1,D626='Calculator'!$B$4)</x:f>
        <x:v>0</x:v>
      </x:c>
      <x:c r="I626" t="n">
        <x:f>--AND(H626=1,G626=1)</x:f>
        <x:v>0</x:v>
      </x:c>
      <x:c r="J626" t="n">
        <x:f>--AND(F626=1,E626='Calculator'!$B$4)</x:f>
        <x:v>0</x:v>
      </x:c>
      <x:c r="K626" t="n">
        <x:f>--AND(J626=1,G626=1)</x:f>
        <x:v>0</x:v>
      </x:c>
      <x:c r="L626" t="str">
        <x:f>A626&amp;"/"&amp;B626&amp;"/"&amp;C626</x:f>
        <x:v>12/8/10</x:v>
      </x:c>
      <x:c r="M626" t="str">
        <x:f>MIN(15,A626+'Calculator'!$B$6)&amp;"/"&amp;MIN(15,B626+'Calculator'!$B$6)&amp;"/"&amp;MIN(15,C626+'Calculator'!$B$6)</x:f>
        <x:v>14/10/12</x:v>
      </x:c>
    </x:row>
    <x:row r="627">
      <x:c r="A627" t="n">
        <x:v>12</x:v>
      </x:c>
      <x:c r="B627" t="n">
        <x:v>8</x:v>
      </x:c>
      <x:c r="C627" t="n">
        <x:v>11</x:v>
      </x:c>
      <x:c r="D627" t="n">
        <x:f>MAX(10,ROUNDDOWN((('Calculator'!$B$10+A627)*SQRT('Calculator'!$B$11+B627)*SQRT('Calculator'!$B$12+C627)*0.59740001^2)/10,0))</x:f>
        <x:v>2302</x:v>
      </x:c>
      <x:c r="E627" t="n">
        <x:f>MAX(10,ROUNDDOWN((('Calculator'!$B$10+A627)*SQRT('Calculator'!$B$11+B627)*SQRT('Calculator'!$B$12+C627)*0.667934^2)/10,0))</x:f>
        <x:v>2877</x:v>
      </x:c>
      <x:c r="F627" t="n">
        <x:f>--AND(A627&gt;='Calculator'!$B$5,B627&gt;='Calculator'!$B$5,C627&gt;='Calculator'!$B$5)</x:f>
        <x:v>1</x:v>
      </x:c>
      <x:c r="G627" t="n">
        <x:f>--AND(A627+'Calculator'!$B$6&gt;=15,B627+'Calculator'!$B$6&gt;=15,C627+'Calculator'!$B$6&gt;=15)</x:f>
        <x:v>0</x:v>
      </x:c>
      <x:c r="H627" t="n">
        <x:f>--AND(F627=1,D627='Calculator'!$B$4)</x:f>
        <x:v>0</x:v>
      </x:c>
      <x:c r="I627" t="n">
        <x:f>--AND(H627=1,G627=1)</x:f>
        <x:v>0</x:v>
      </x:c>
      <x:c r="J627" t="n">
        <x:f>--AND(F627=1,E627='Calculator'!$B$4)</x:f>
        <x:v>0</x:v>
      </x:c>
      <x:c r="K627" t="n">
        <x:f>--AND(J627=1,G627=1)</x:f>
        <x:v>0</x:v>
      </x:c>
      <x:c r="L627" t="str">
        <x:f>A627&amp;"/"&amp;B627&amp;"/"&amp;C627</x:f>
        <x:v>12/8/11</x:v>
      </x:c>
      <x:c r="M627" t="str">
        <x:f>MIN(15,A627+'Calculator'!$B$6)&amp;"/"&amp;MIN(15,B627+'Calculator'!$B$6)&amp;"/"&amp;MIN(15,C627+'Calculator'!$B$6)</x:f>
        <x:v>14/10/13</x:v>
      </x:c>
    </x:row>
    <x:row r="628">
      <x:c r="A628" t="n">
        <x:v>12</x:v>
      </x:c>
      <x:c r="B628" t="n">
        <x:v>8</x:v>
      </x:c>
      <x:c r="C628" t="n">
        <x:v>12</x:v>
      </x:c>
      <x:c r="D628" t="n">
        <x:f>MAX(10,ROUNDDOWN((('Calculator'!$B$10+A628)*SQRT('Calculator'!$B$11+B628)*SQRT('Calculator'!$B$12+C628)*0.59740001^2)/10,0))</x:f>
        <x:v>2307</x:v>
      </x:c>
      <x:c r="E628" t="n">
        <x:f>MAX(10,ROUNDDOWN((('Calculator'!$B$10+A628)*SQRT('Calculator'!$B$11+B628)*SQRT('Calculator'!$B$12+C628)*0.667934^2)/10,0))</x:f>
        <x:v>2884</x:v>
      </x:c>
      <x:c r="F628" t="n">
        <x:f>--AND(A628&gt;='Calculator'!$B$5,B628&gt;='Calculator'!$B$5,C628&gt;='Calculator'!$B$5)</x:f>
        <x:v>1</x:v>
      </x:c>
      <x:c r="G628" t="n">
        <x:f>--AND(A628+'Calculator'!$B$6&gt;=15,B628+'Calculator'!$B$6&gt;=15,C628+'Calculator'!$B$6&gt;=15)</x:f>
        <x:v>0</x:v>
      </x:c>
      <x:c r="H628" t="n">
        <x:f>--AND(F628=1,D628='Calculator'!$B$4)</x:f>
        <x:v>0</x:v>
      </x:c>
      <x:c r="I628" t="n">
        <x:f>--AND(H628=1,G628=1)</x:f>
        <x:v>0</x:v>
      </x:c>
      <x:c r="J628" t="n">
        <x:f>--AND(F628=1,E628='Calculator'!$B$4)</x:f>
        <x:v>0</x:v>
      </x:c>
      <x:c r="K628" t="n">
        <x:f>--AND(J628=1,G628=1)</x:f>
        <x:v>0</x:v>
      </x:c>
      <x:c r="L628" t="str">
        <x:f>A628&amp;"/"&amp;B628&amp;"/"&amp;C628</x:f>
        <x:v>12/8/12</x:v>
      </x:c>
      <x:c r="M628" t="str">
        <x:f>MIN(15,A628+'Calculator'!$B$6)&amp;"/"&amp;MIN(15,B628+'Calculator'!$B$6)&amp;"/"&amp;MIN(15,C628+'Calculator'!$B$6)</x:f>
        <x:v>14/10/14</x:v>
      </x:c>
    </x:row>
    <x:row r="629">
      <x:c r="A629" t="n">
        <x:v>12</x:v>
      </x:c>
      <x:c r="B629" t="n">
        <x:v>8</x:v>
      </x:c>
      <x:c r="C629" t="n">
        <x:v>13</x:v>
      </x:c>
      <x:c r="D629" t="n">
        <x:f>MAX(10,ROUNDDOWN((('Calculator'!$B$10+A629)*SQRT('Calculator'!$B$11+B629)*SQRT('Calculator'!$B$12+C629)*0.59740001^2)/10,0))</x:f>
        <x:v>2312</x:v>
      </x:c>
      <x:c r="E629" t="n">
        <x:f>MAX(10,ROUNDDOWN((('Calculator'!$B$10+A629)*SQRT('Calculator'!$B$11+B629)*SQRT('Calculator'!$B$12+C629)*0.667934^2)/10,0))</x:f>
        <x:v>2890</x:v>
      </x:c>
      <x:c r="F629" t="n">
        <x:f>--AND(A629&gt;='Calculator'!$B$5,B629&gt;='Calculator'!$B$5,C629&gt;='Calculator'!$B$5)</x:f>
        <x:v>1</x:v>
      </x:c>
      <x:c r="G629" t="n">
        <x:f>--AND(A629+'Calculator'!$B$6&gt;=15,B629+'Calculator'!$B$6&gt;=15,C629+'Calculator'!$B$6&gt;=15)</x:f>
        <x:v>0</x:v>
      </x:c>
      <x:c r="H629" t="n">
        <x:f>--AND(F629=1,D629='Calculator'!$B$4)</x:f>
        <x:v>0</x:v>
      </x:c>
      <x:c r="I629" t="n">
        <x:f>--AND(H629=1,G629=1)</x:f>
        <x:v>0</x:v>
      </x:c>
      <x:c r="J629" t="n">
        <x:f>--AND(F629=1,E629='Calculator'!$B$4)</x:f>
        <x:v>0</x:v>
      </x:c>
      <x:c r="K629" t="n">
        <x:f>--AND(J629=1,G629=1)</x:f>
        <x:v>0</x:v>
      </x:c>
      <x:c r="L629" t="str">
        <x:f>A629&amp;"/"&amp;B629&amp;"/"&amp;C629</x:f>
        <x:v>12/8/13</x:v>
      </x:c>
      <x:c r="M629" t="str">
        <x:f>MIN(15,A629+'Calculator'!$B$6)&amp;"/"&amp;MIN(15,B629+'Calculator'!$B$6)&amp;"/"&amp;MIN(15,C629+'Calculator'!$B$6)</x:f>
        <x:v>14/10/15</x:v>
      </x:c>
    </x:row>
    <x:row r="630">
      <x:c r="A630" t="n">
        <x:v>12</x:v>
      </x:c>
      <x:c r="B630" t="n">
        <x:v>8</x:v>
      </x:c>
      <x:c r="C630" t="n">
        <x:v>14</x:v>
      </x:c>
      <x:c r="D630" t="n">
        <x:f>MAX(10,ROUNDDOWN((('Calculator'!$B$10+A630)*SQRT('Calculator'!$B$11+B630)*SQRT('Calculator'!$B$12+C630)*0.59740001^2)/10,0))</x:f>
        <x:v>2317</x:v>
      </x:c>
      <x:c r="E630" t="n">
        <x:f>MAX(10,ROUNDDOWN((('Calculator'!$B$10+A630)*SQRT('Calculator'!$B$11+B630)*SQRT('Calculator'!$B$12+C630)*0.667934^2)/10,0))</x:f>
        <x:v>2897</x:v>
      </x:c>
      <x:c r="F630" t="n">
        <x:f>--AND(A630&gt;='Calculator'!$B$5,B630&gt;='Calculator'!$B$5,C630&gt;='Calculator'!$B$5)</x:f>
        <x:v>1</x:v>
      </x:c>
      <x:c r="G630" t="n">
        <x:f>--AND(A630+'Calculator'!$B$6&gt;=15,B630+'Calculator'!$B$6&gt;=15,C630+'Calculator'!$B$6&gt;=15)</x:f>
        <x:v>0</x:v>
      </x:c>
      <x:c r="H630" t="n">
        <x:f>--AND(F630=1,D630='Calculator'!$B$4)</x:f>
        <x:v>0</x:v>
      </x:c>
      <x:c r="I630" t="n">
        <x:f>--AND(H630=1,G630=1)</x:f>
        <x:v>0</x:v>
      </x:c>
      <x:c r="J630" t="n">
        <x:f>--AND(F630=1,E630='Calculator'!$B$4)</x:f>
        <x:v>0</x:v>
      </x:c>
      <x:c r="K630" t="n">
        <x:f>--AND(J630=1,G630=1)</x:f>
        <x:v>0</x:v>
      </x:c>
      <x:c r="L630" t="str">
        <x:f>A630&amp;"/"&amp;B630&amp;"/"&amp;C630</x:f>
        <x:v>12/8/14</x:v>
      </x:c>
      <x:c r="M630" t="str">
        <x:f>MIN(15,A630+'Calculator'!$B$6)&amp;"/"&amp;MIN(15,B630+'Calculator'!$B$6)&amp;"/"&amp;MIN(15,C630+'Calculator'!$B$6)</x:f>
        <x:v>14/10/15</x:v>
      </x:c>
    </x:row>
    <x:row r="631">
      <x:c r="A631" t="n">
        <x:v>12</x:v>
      </x:c>
      <x:c r="B631" t="n">
        <x:v>8</x:v>
      </x:c>
      <x:c r="C631" t="n">
        <x:v>15</x:v>
      </x:c>
      <x:c r="D631" t="n">
        <x:f>MAX(10,ROUNDDOWN((('Calculator'!$B$10+A631)*SQRT('Calculator'!$B$11+B631)*SQRT('Calculator'!$B$12+C631)*0.59740001^2)/10,0))</x:f>
        <x:v>2322</x:v>
      </x:c>
      <x:c r="E631" t="n">
        <x:f>MAX(10,ROUNDDOWN((('Calculator'!$B$10+A631)*SQRT('Calculator'!$B$11+B631)*SQRT('Calculator'!$B$12+C631)*0.667934^2)/10,0))</x:f>
        <x:v>2903</x:v>
      </x:c>
      <x:c r="F631" t="n">
        <x:f>--AND(A631&gt;='Calculator'!$B$5,B631&gt;='Calculator'!$B$5,C631&gt;='Calculator'!$B$5)</x:f>
        <x:v>1</x:v>
      </x:c>
      <x:c r="G631" t="n">
        <x:f>--AND(A631+'Calculator'!$B$6&gt;=15,B631+'Calculator'!$B$6&gt;=15,C631+'Calculator'!$B$6&gt;=15)</x:f>
        <x:v>0</x:v>
      </x:c>
      <x:c r="H631" t="n">
        <x:f>--AND(F631=1,D631='Calculator'!$B$4)</x:f>
        <x:v>0</x:v>
      </x:c>
      <x:c r="I631" t="n">
        <x:f>--AND(H631=1,G631=1)</x:f>
        <x:v>0</x:v>
      </x:c>
      <x:c r="J631" t="n">
        <x:f>--AND(F631=1,E631='Calculator'!$B$4)</x:f>
        <x:v>0</x:v>
      </x:c>
      <x:c r="K631" t="n">
        <x:f>--AND(J631=1,G631=1)</x:f>
        <x:v>0</x:v>
      </x:c>
      <x:c r="L631" t="str">
        <x:f>A631&amp;"/"&amp;B631&amp;"/"&amp;C631</x:f>
        <x:v>12/8/15</x:v>
      </x:c>
      <x:c r="M631" t="str">
        <x:f>MIN(15,A631+'Calculator'!$B$6)&amp;"/"&amp;MIN(15,B631+'Calculator'!$B$6)&amp;"/"&amp;MIN(15,C631+'Calculator'!$B$6)</x:f>
        <x:v>14/10/15</x:v>
      </x:c>
    </x:row>
    <x:row r="632">
      <x:c r="A632" t="n">
        <x:v>12</x:v>
      </x:c>
      <x:c r="B632" t="n">
        <x:v>9</x:v>
      </x:c>
      <x:c r="C632" t="n">
        <x:v>6</x:v>
      </x:c>
      <x:c r="D632" t="n">
        <x:f>MAX(10,ROUNDDOWN((('Calculator'!$B$10+A632)*SQRT('Calculator'!$B$11+B632)*SQRT('Calculator'!$B$12+C632)*0.59740001^2)/10,0))</x:f>
        <x:v>2282</x:v>
      </x:c>
      <x:c r="E632" t="n">
        <x:f>MAX(10,ROUNDDOWN((('Calculator'!$B$10+A632)*SQRT('Calculator'!$B$11+B632)*SQRT('Calculator'!$B$12+C632)*0.667934^2)/10,0))</x:f>
        <x:v>2853</x:v>
      </x:c>
      <x:c r="F632" t="n">
        <x:f>--AND(A632&gt;='Calculator'!$B$5,B632&gt;='Calculator'!$B$5,C632&gt;='Calculator'!$B$5)</x:f>
        <x:v>1</x:v>
      </x:c>
      <x:c r="G632" t="n">
        <x:f>--AND(A632+'Calculator'!$B$6&gt;=15,B632+'Calculator'!$B$6&gt;=15,C632+'Calculator'!$B$6&gt;=15)</x:f>
        <x:v>0</x:v>
      </x:c>
      <x:c r="H632" t="n">
        <x:f>--AND(F632=1,D632='Calculator'!$B$4)</x:f>
        <x:v>0</x:v>
      </x:c>
      <x:c r="I632" t="n">
        <x:f>--AND(H632=1,G632=1)</x:f>
        <x:v>0</x:v>
      </x:c>
      <x:c r="J632" t="n">
        <x:f>--AND(F632=1,E632='Calculator'!$B$4)</x:f>
        <x:v>0</x:v>
      </x:c>
      <x:c r="K632" t="n">
        <x:f>--AND(J632=1,G632=1)</x:f>
        <x:v>0</x:v>
      </x:c>
      <x:c r="L632" t="str">
        <x:f>A632&amp;"/"&amp;B632&amp;"/"&amp;C632</x:f>
        <x:v>12/9/6</x:v>
      </x:c>
      <x:c r="M632" t="str">
        <x:f>MIN(15,A632+'Calculator'!$B$6)&amp;"/"&amp;MIN(15,B632+'Calculator'!$B$6)&amp;"/"&amp;MIN(15,C632+'Calculator'!$B$6)</x:f>
        <x:v>14/11/8</x:v>
      </x:c>
    </x:row>
    <x:row r="633">
      <x:c r="A633" t="n">
        <x:v>12</x:v>
      </x:c>
      <x:c r="B633" t="n">
        <x:v>9</x:v>
      </x:c>
      <x:c r="C633" t="n">
        <x:v>7</x:v>
      </x:c>
      <x:c r="D633" t="n">
        <x:f>MAX(10,ROUNDDOWN((('Calculator'!$B$10+A633)*SQRT('Calculator'!$B$11+B633)*SQRT('Calculator'!$B$12+C633)*0.59740001^2)/10,0))</x:f>
        <x:v>2287</x:v>
      </x:c>
      <x:c r="E633" t="n">
        <x:f>MAX(10,ROUNDDOWN((('Calculator'!$B$10+A633)*SQRT('Calculator'!$B$11+B633)*SQRT('Calculator'!$B$12+C633)*0.667934^2)/10,0))</x:f>
        <x:v>2859</x:v>
      </x:c>
      <x:c r="F633" t="n">
        <x:f>--AND(A633&gt;='Calculator'!$B$5,B633&gt;='Calculator'!$B$5,C633&gt;='Calculator'!$B$5)</x:f>
        <x:v>1</x:v>
      </x:c>
      <x:c r="G633" t="n">
        <x:f>--AND(A633+'Calculator'!$B$6&gt;=15,B633+'Calculator'!$B$6&gt;=15,C633+'Calculator'!$B$6&gt;=15)</x:f>
        <x:v>0</x:v>
      </x:c>
      <x:c r="H633" t="n">
        <x:f>--AND(F633=1,D633='Calculator'!$B$4)</x:f>
        <x:v>0</x:v>
      </x:c>
      <x:c r="I633" t="n">
        <x:f>--AND(H633=1,G633=1)</x:f>
        <x:v>0</x:v>
      </x:c>
      <x:c r="J633" t="n">
        <x:f>--AND(F633=1,E633='Calculator'!$B$4)</x:f>
        <x:v>0</x:v>
      </x:c>
      <x:c r="K633" t="n">
        <x:f>--AND(J633=1,G633=1)</x:f>
        <x:v>0</x:v>
      </x:c>
      <x:c r="L633" t="str">
        <x:f>A633&amp;"/"&amp;B633&amp;"/"&amp;C633</x:f>
        <x:v>12/9/7</x:v>
      </x:c>
      <x:c r="M633" t="str">
        <x:f>MIN(15,A633+'Calculator'!$B$6)&amp;"/"&amp;MIN(15,B633+'Calculator'!$B$6)&amp;"/"&amp;MIN(15,C633+'Calculator'!$B$6)</x:f>
        <x:v>14/11/9</x:v>
      </x:c>
    </x:row>
    <x:row r="634">
      <x:c r="A634" t="n">
        <x:v>12</x:v>
      </x:c>
      <x:c r="B634" t="n">
        <x:v>9</x:v>
      </x:c>
      <x:c r="C634" t="n">
        <x:v>8</x:v>
      </x:c>
      <x:c r="D634" t="n">
        <x:f>MAX(10,ROUNDDOWN((('Calculator'!$B$10+A634)*SQRT('Calculator'!$B$11+B634)*SQRT('Calculator'!$B$12+C634)*0.59740001^2)/10,0))</x:f>
        <x:v>2292</x:v>
      </x:c>
      <x:c r="E634" t="n">
        <x:f>MAX(10,ROUNDDOWN((('Calculator'!$B$10+A634)*SQRT('Calculator'!$B$11+B634)*SQRT('Calculator'!$B$12+C634)*0.667934^2)/10,0))</x:f>
        <x:v>2866</x:v>
      </x:c>
      <x:c r="F634" t="n">
        <x:f>--AND(A634&gt;='Calculator'!$B$5,B634&gt;='Calculator'!$B$5,C634&gt;='Calculator'!$B$5)</x:f>
        <x:v>1</x:v>
      </x:c>
      <x:c r="G634" t="n">
        <x:f>--AND(A634+'Calculator'!$B$6&gt;=15,B634+'Calculator'!$B$6&gt;=15,C634+'Calculator'!$B$6&gt;=15)</x:f>
        <x:v>0</x:v>
      </x:c>
      <x:c r="H634" t="n">
        <x:f>--AND(F634=1,D634='Calculator'!$B$4)</x:f>
        <x:v>0</x:v>
      </x:c>
      <x:c r="I634" t="n">
        <x:f>--AND(H634=1,G634=1)</x:f>
        <x:v>0</x:v>
      </x:c>
      <x:c r="J634" t="n">
        <x:f>--AND(F634=1,E634='Calculator'!$B$4)</x:f>
        <x:v>0</x:v>
      </x:c>
      <x:c r="K634" t="n">
        <x:f>--AND(J634=1,G634=1)</x:f>
        <x:v>0</x:v>
      </x:c>
      <x:c r="L634" t="str">
        <x:f>A634&amp;"/"&amp;B634&amp;"/"&amp;C634</x:f>
        <x:v>12/9/8</x:v>
      </x:c>
      <x:c r="M634" t="str">
        <x:f>MIN(15,A634+'Calculator'!$B$6)&amp;"/"&amp;MIN(15,B634+'Calculator'!$B$6)&amp;"/"&amp;MIN(15,C634+'Calculator'!$B$6)</x:f>
        <x:v>14/11/10</x:v>
      </x:c>
    </x:row>
    <x:row r="635">
      <x:c r="A635" t="n">
        <x:v>12</x:v>
      </x:c>
      <x:c r="B635" t="n">
        <x:v>9</x:v>
      </x:c>
      <x:c r="C635" t="n">
        <x:v>9</x:v>
      </x:c>
      <x:c r="D635" t="n">
        <x:f>MAX(10,ROUNDDOWN((('Calculator'!$B$10+A635)*SQRT('Calculator'!$B$11+B635)*SQRT('Calculator'!$B$12+C635)*0.59740001^2)/10,0))</x:f>
        <x:v>2298</x:v>
      </x:c>
      <x:c r="E635" t="n">
        <x:f>MAX(10,ROUNDDOWN((('Calculator'!$B$10+A635)*SQRT('Calculator'!$B$11+B635)*SQRT('Calculator'!$B$12+C635)*0.667934^2)/10,0))</x:f>
        <x:v>2872</x:v>
      </x:c>
      <x:c r="F635" t="n">
        <x:f>--AND(A635&gt;='Calculator'!$B$5,B635&gt;='Calculator'!$B$5,C635&gt;='Calculator'!$B$5)</x:f>
        <x:v>1</x:v>
      </x:c>
      <x:c r="G635" t="n">
        <x:f>--AND(A635+'Calculator'!$B$6&gt;=15,B635+'Calculator'!$B$6&gt;=15,C635+'Calculator'!$B$6&gt;=15)</x:f>
        <x:v>0</x:v>
      </x:c>
      <x:c r="H635" t="n">
        <x:f>--AND(F635=1,D635='Calculator'!$B$4)</x:f>
        <x:v>0</x:v>
      </x:c>
      <x:c r="I635" t="n">
        <x:f>--AND(H635=1,G635=1)</x:f>
        <x:v>0</x:v>
      </x:c>
      <x:c r="J635" t="n">
        <x:f>--AND(F635=1,E635='Calculator'!$B$4)</x:f>
        <x:v>0</x:v>
      </x:c>
      <x:c r="K635" t="n">
        <x:f>--AND(J635=1,G635=1)</x:f>
        <x:v>0</x:v>
      </x:c>
      <x:c r="L635" t="str">
        <x:f>A635&amp;"/"&amp;B635&amp;"/"&amp;C635</x:f>
        <x:v>12/9/9</x:v>
      </x:c>
      <x:c r="M635" t="str">
        <x:f>MIN(15,A635+'Calculator'!$B$6)&amp;"/"&amp;MIN(15,B635+'Calculator'!$B$6)&amp;"/"&amp;MIN(15,C635+'Calculator'!$B$6)</x:f>
        <x:v>14/11/11</x:v>
      </x:c>
    </x:row>
    <x:row r="636">
      <x:c r="A636" t="n">
        <x:v>12</x:v>
      </x:c>
      <x:c r="B636" t="n">
        <x:v>9</x:v>
      </x:c>
      <x:c r="C636" t="n">
        <x:v>10</x:v>
      </x:c>
      <x:c r="D636" t="n">
        <x:f>MAX(10,ROUNDDOWN((('Calculator'!$B$10+A636)*SQRT('Calculator'!$B$11+B636)*SQRT('Calculator'!$B$12+C636)*0.59740001^2)/10,0))</x:f>
        <x:v>2303</x:v>
      </x:c>
      <x:c r="E636" t="n">
        <x:f>MAX(10,ROUNDDOWN((('Calculator'!$B$10+A636)*SQRT('Calculator'!$B$11+B636)*SQRT('Calculator'!$B$12+C636)*0.667934^2)/10,0))</x:f>
        <x:v>2879</x:v>
      </x:c>
      <x:c r="F636" t="n">
        <x:f>--AND(A636&gt;='Calculator'!$B$5,B636&gt;='Calculator'!$B$5,C636&gt;='Calculator'!$B$5)</x:f>
        <x:v>1</x:v>
      </x:c>
      <x:c r="G636" t="n">
        <x:f>--AND(A636+'Calculator'!$B$6&gt;=15,B636+'Calculator'!$B$6&gt;=15,C636+'Calculator'!$B$6&gt;=15)</x:f>
        <x:v>0</x:v>
      </x:c>
      <x:c r="H636" t="n">
        <x:f>--AND(F636=1,D636='Calculator'!$B$4)</x:f>
        <x:v>0</x:v>
      </x:c>
      <x:c r="I636" t="n">
        <x:f>--AND(H636=1,G636=1)</x:f>
        <x:v>0</x:v>
      </x:c>
      <x:c r="J636" t="n">
        <x:f>--AND(F636=1,E636='Calculator'!$B$4)</x:f>
        <x:v>0</x:v>
      </x:c>
      <x:c r="K636" t="n">
        <x:f>--AND(J636=1,G636=1)</x:f>
        <x:v>0</x:v>
      </x:c>
      <x:c r="L636" t="str">
        <x:f>A636&amp;"/"&amp;B636&amp;"/"&amp;C636</x:f>
        <x:v>12/9/10</x:v>
      </x:c>
      <x:c r="M636" t="str">
        <x:f>MIN(15,A636+'Calculator'!$B$6)&amp;"/"&amp;MIN(15,B636+'Calculator'!$B$6)&amp;"/"&amp;MIN(15,C636+'Calculator'!$B$6)</x:f>
        <x:v>14/11/12</x:v>
      </x:c>
    </x:row>
    <x:row r="637">
      <x:c r="A637" t="n">
        <x:v>12</x:v>
      </x:c>
      <x:c r="B637" t="n">
        <x:v>9</x:v>
      </x:c>
      <x:c r="C637" t="n">
        <x:v>11</x:v>
      </x:c>
      <x:c r="D637" t="n">
        <x:f>MAX(10,ROUNDDOWN((('Calculator'!$B$10+A637)*SQRT('Calculator'!$B$11+B637)*SQRT('Calculator'!$B$12+C637)*0.59740001^2)/10,0))</x:f>
        <x:v>2308</x:v>
      </x:c>
      <x:c r="E637" t="n">
        <x:f>MAX(10,ROUNDDOWN((('Calculator'!$B$10+A637)*SQRT('Calculator'!$B$11+B637)*SQRT('Calculator'!$B$12+C637)*0.667934^2)/10,0))</x:f>
        <x:v>2885</x:v>
      </x:c>
      <x:c r="F637" t="n">
        <x:f>--AND(A637&gt;='Calculator'!$B$5,B637&gt;='Calculator'!$B$5,C637&gt;='Calculator'!$B$5)</x:f>
        <x:v>1</x:v>
      </x:c>
      <x:c r="G637" t="n">
        <x:f>--AND(A637+'Calculator'!$B$6&gt;=15,B637+'Calculator'!$B$6&gt;=15,C637+'Calculator'!$B$6&gt;=15)</x:f>
        <x:v>0</x:v>
      </x:c>
      <x:c r="H637" t="n">
        <x:f>--AND(F637=1,D637='Calculator'!$B$4)</x:f>
        <x:v>0</x:v>
      </x:c>
      <x:c r="I637" t="n">
        <x:f>--AND(H637=1,G637=1)</x:f>
        <x:v>0</x:v>
      </x:c>
      <x:c r="J637" t="n">
        <x:f>--AND(F637=1,E637='Calculator'!$B$4)</x:f>
        <x:v>0</x:v>
      </x:c>
      <x:c r="K637" t="n">
        <x:f>--AND(J637=1,G637=1)</x:f>
        <x:v>0</x:v>
      </x:c>
      <x:c r="L637" t="str">
        <x:f>A637&amp;"/"&amp;B637&amp;"/"&amp;C637</x:f>
        <x:v>12/9/11</x:v>
      </x:c>
      <x:c r="M637" t="str">
        <x:f>MIN(15,A637+'Calculator'!$B$6)&amp;"/"&amp;MIN(15,B637+'Calculator'!$B$6)&amp;"/"&amp;MIN(15,C637+'Calculator'!$B$6)</x:f>
        <x:v>14/11/13</x:v>
      </x:c>
    </x:row>
    <x:row r="638">
      <x:c r="A638" t="n">
        <x:v>12</x:v>
      </x:c>
      <x:c r="B638" t="n">
        <x:v>9</x:v>
      </x:c>
      <x:c r="C638" t="n">
        <x:v>12</x:v>
      </x:c>
      <x:c r="D638" t="n">
        <x:f>MAX(10,ROUNDDOWN((('Calculator'!$B$10+A638)*SQRT('Calculator'!$B$11+B638)*SQRT('Calculator'!$B$12+C638)*0.59740001^2)/10,0))</x:f>
        <x:v>2313</x:v>
      </x:c>
      <x:c r="E638" t="n">
        <x:f>MAX(10,ROUNDDOWN((('Calculator'!$B$10+A638)*SQRT('Calculator'!$B$11+B638)*SQRT('Calculator'!$B$12+C638)*0.667934^2)/10,0))</x:f>
        <x:v>2891</x:v>
      </x:c>
      <x:c r="F638" t="n">
        <x:f>--AND(A638&gt;='Calculator'!$B$5,B638&gt;='Calculator'!$B$5,C638&gt;='Calculator'!$B$5)</x:f>
        <x:v>1</x:v>
      </x:c>
      <x:c r="G638" t="n">
        <x:f>--AND(A638+'Calculator'!$B$6&gt;=15,B638+'Calculator'!$B$6&gt;=15,C638+'Calculator'!$B$6&gt;=15)</x:f>
        <x:v>0</x:v>
      </x:c>
      <x:c r="H638" t="n">
        <x:f>--AND(F638=1,D638='Calculator'!$B$4)</x:f>
        <x:v>0</x:v>
      </x:c>
      <x:c r="I638" t="n">
        <x:f>--AND(H638=1,G638=1)</x:f>
        <x:v>0</x:v>
      </x:c>
      <x:c r="J638" t="n">
        <x:f>--AND(F638=1,E638='Calculator'!$B$4)</x:f>
        <x:v>0</x:v>
      </x:c>
      <x:c r="K638" t="n">
        <x:f>--AND(J638=1,G638=1)</x:f>
        <x:v>0</x:v>
      </x:c>
      <x:c r="L638" t="str">
        <x:f>A638&amp;"/"&amp;B638&amp;"/"&amp;C638</x:f>
        <x:v>12/9/12</x:v>
      </x:c>
      <x:c r="M638" t="str">
        <x:f>MIN(15,A638+'Calculator'!$B$6)&amp;"/"&amp;MIN(15,B638+'Calculator'!$B$6)&amp;"/"&amp;MIN(15,C638+'Calculator'!$B$6)</x:f>
        <x:v>14/11/14</x:v>
      </x:c>
    </x:row>
    <x:row r="639">
      <x:c r="A639" t="n">
        <x:v>12</x:v>
      </x:c>
      <x:c r="B639" t="n">
        <x:v>9</x:v>
      </x:c>
      <x:c r="C639" t="n">
        <x:v>13</x:v>
      </x:c>
      <x:c r="D639" t="n">
        <x:f>MAX(10,ROUNDDOWN((('Calculator'!$B$10+A639)*SQRT('Calculator'!$B$11+B639)*SQRT('Calculator'!$B$12+C639)*0.59740001^2)/10,0))</x:f>
        <x:v>2318</x:v>
      </x:c>
      <x:c r="E639" t="n">
        <x:f>MAX(10,ROUNDDOWN((('Calculator'!$B$10+A639)*SQRT('Calculator'!$B$11+B639)*SQRT('Calculator'!$B$12+C639)*0.667934^2)/10,0))</x:f>
        <x:v>2898</x:v>
      </x:c>
      <x:c r="F639" t="n">
        <x:f>--AND(A639&gt;='Calculator'!$B$5,B639&gt;='Calculator'!$B$5,C639&gt;='Calculator'!$B$5)</x:f>
        <x:v>1</x:v>
      </x:c>
      <x:c r="G639" t="n">
        <x:f>--AND(A639+'Calculator'!$B$6&gt;=15,B639+'Calculator'!$B$6&gt;=15,C639+'Calculator'!$B$6&gt;=15)</x:f>
        <x:v>0</x:v>
      </x:c>
      <x:c r="H639" t="n">
        <x:f>--AND(F639=1,D639='Calculator'!$B$4)</x:f>
        <x:v>0</x:v>
      </x:c>
      <x:c r="I639" t="n">
        <x:f>--AND(H639=1,G639=1)</x:f>
        <x:v>0</x:v>
      </x:c>
      <x:c r="J639" t="n">
        <x:f>--AND(F639=1,E639='Calculator'!$B$4)</x:f>
        <x:v>0</x:v>
      </x:c>
      <x:c r="K639" t="n">
        <x:f>--AND(J639=1,G639=1)</x:f>
        <x:v>0</x:v>
      </x:c>
      <x:c r="L639" t="str">
        <x:f>A639&amp;"/"&amp;B639&amp;"/"&amp;C639</x:f>
        <x:v>12/9/13</x:v>
      </x:c>
      <x:c r="M639" t="str">
        <x:f>MIN(15,A639+'Calculator'!$B$6)&amp;"/"&amp;MIN(15,B639+'Calculator'!$B$6)&amp;"/"&amp;MIN(15,C639+'Calculator'!$B$6)</x:f>
        <x:v>14/11/15</x:v>
      </x:c>
    </x:row>
    <x:row r="640">
      <x:c r="A640" t="n">
        <x:v>12</x:v>
      </x:c>
      <x:c r="B640" t="n">
        <x:v>9</x:v>
      </x:c>
      <x:c r="C640" t="n">
        <x:v>14</x:v>
      </x:c>
      <x:c r="D640" t="n">
        <x:f>MAX(10,ROUNDDOWN((('Calculator'!$B$10+A640)*SQRT('Calculator'!$B$11+B640)*SQRT('Calculator'!$B$12+C640)*0.59740001^2)/10,0))</x:f>
        <x:v>2323</x:v>
      </x:c>
      <x:c r="E640" t="n">
        <x:f>MAX(10,ROUNDDOWN((('Calculator'!$B$10+A640)*SQRT('Calculator'!$B$11+B640)*SQRT('Calculator'!$B$12+C640)*0.667934^2)/10,0))</x:f>
        <x:v>2904</x:v>
      </x:c>
      <x:c r="F640" t="n">
        <x:f>--AND(A640&gt;='Calculator'!$B$5,B640&gt;='Calculator'!$B$5,C640&gt;='Calculator'!$B$5)</x:f>
        <x:v>1</x:v>
      </x:c>
      <x:c r="G640" t="n">
        <x:f>--AND(A640+'Calculator'!$B$6&gt;=15,B640+'Calculator'!$B$6&gt;=15,C640+'Calculator'!$B$6&gt;=15)</x:f>
        <x:v>0</x:v>
      </x:c>
      <x:c r="H640" t="n">
        <x:f>--AND(F640=1,D640='Calculator'!$B$4)</x:f>
        <x:v>0</x:v>
      </x:c>
      <x:c r="I640" t="n">
        <x:f>--AND(H640=1,G640=1)</x:f>
        <x:v>0</x:v>
      </x:c>
      <x:c r="J640" t="n">
        <x:f>--AND(F640=1,E640='Calculator'!$B$4)</x:f>
        <x:v>0</x:v>
      </x:c>
      <x:c r="K640" t="n">
        <x:f>--AND(J640=1,G640=1)</x:f>
        <x:v>0</x:v>
      </x:c>
      <x:c r="L640" t="str">
        <x:f>A640&amp;"/"&amp;B640&amp;"/"&amp;C640</x:f>
        <x:v>12/9/14</x:v>
      </x:c>
      <x:c r="M640" t="str">
        <x:f>MIN(15,A640+'Calculator'!$B$6)&amp;"/"&amp;MIN(15,B640+'Calculator'!$B$6)&amp;"/"&amp;MIN(15,C640+'Calculator'!$B$6)</x:f>
        <x:v>14/11/15</x:v>
      </x:c>
    </x:row>
    <x:row r="641">
      <x:c r="A641" t="n">
        <x:v>12</x:v>
      </x:c>
      <x:c r="B641" t="n">
        <x:v>9</x:v>
      </x:c>
      <x:c r="C641" t="n">
        <x:v>15</x:v>
      </x:c>
      <x:c r="D641" t="n">
        <x:f>MAX(10,ROUNDDOWN((('Calculator'!$B$10+A641)*SQRT('Calculator'!$B$11+B641)*SQRT('Calculator'!$B$12+C641)*0.59740001^2)/10,0))</x:f>
        <x:v>2328</x:v>
      </x:c>
      <x:c r="E641" t="n">
        <x:f>MAX(10,ROUNDDOWN((('Calculator'!$B$10+A641)*SQRT('Calculator'!$B$11+B641)*SQRT('Calculator'!$B$12+C641)*0.667934^2)/10,0))</x:f>
        <x:v>2911</x:v>
      </x:c>
      <x:c r="F641" t="n">
        <x:f>--AND(A641&gt;='Calculator'!$B$5,B641&gt;='Calculator'!$B$5,C641&gt;='Calculator'!$B$5)</x:f>
        <x:v>1</x:v>
      </x:c>
      <x:c r="G641" t="n">
        <x:f>--AND(A641+'Calculator'!$B$6&gt;=15,B641+'Calculator'!$B$6&gt;=15,C641+'Calculator'!$B$6&gt;=15)</x:f>
        <x:v>0</x:v>
      </x:c>
      <x:c r="H641" t="n">
        <x:f>--AND(F641=1,D641='Calculator'!$B$4)</x:f>
        <x:v>0</x:v>
      </x:c>
      <x:c r="I641" t="n">
        <x:f>--AND(H641=1,G641=1)</x:f>
        <x:v>0</x:v>
      </x:c>
      <x:c r="J641" t="n">
        <x:f>--AND(F641=1,E641='Calculator'!$B$4)</x:f>
        <x:v>0</x:v>
      </x:c>
      <x:c r="K641" t="n">
        <x:f>--AND(J641=1,G641=1)</x:f>
        <x:v>0</x:v>
      </x:c>
      <x:c r="L641" t="str">
        <x:f>A641&amp;"/"&amp;B641&amp;"/"&amp;C641</x:f>
        <x:v>12/9/15</x:v>
      </x:c>
      <x:c r="M641" t="str">
        <x:f>MIN(15,A641+'Calculator'!$B$6)&amp;"/"&amp;MIN(15,B641+'Calculator'!$B$6)&amp;"/"&amp;MIN(15,C641+'Calculator'!$B$6)</x:f>
        <x:v>14/11/15</x:v>
      </x:c>
    </x:row>
    <x:row r="642">
      <x:c r="A642" t="n">
        <x:v>12</x:v>
      </x:c>
      <x:c r="B642" t="n">
        <x:v>10</x:v>
      </x:c>
      <x:c r="C642" t="n">
        <x:v>6</x:v>
      </x:c>
      <x:c r="D642" t="n">
        <x:f>MAX(10,ROUNDDOWN((('Calculator'!$B$10+A642)*SQRT('Calculator'!$B$11+B642)*SQRT('Calculator'!$B$12+C642)*0.59740001^2)/10,0))</x:f>
        <x:v>2288</x:v>
      </x:c>
      <x:c r="E642" t="n">
        <x:f>MAX(10,ROUNDDOWN((('Calculator'!$B$10+A642)*SQRT('Calculator'!$B$11+B642)*SQRT('Calculator'!$B$12+C642)*0.667934^2)/10,0))</x:f>
        <x:v>2860</x:v>
      </x:c>
      <x:c r="F642" t="n">
        <x:f>--AND(A642&gt;='Calculator'!$B$5,B642&gt;='Calculator'!$B$5,C642&gt;='Calculator'!$B$5)</x:f>
        <x:v>1</x:v>
      </x:c>
      <x:c r="G642" t="n">
        <x:f>--AND(A642+'Calculator'!$B$6&gt;=15,B642+'Calculator'!$B$6&gt;=15,C642+'Calculator'!$B$6&gt;=15)</x:f>
        <x:v>0</x:v>
      </x:c>
      <x:c r="H642" t="n">
        <x:f>--AND(F642=1,D642='Calculator'!$B$4)</x:f>
        <x:v>0</x:v>
      </x:c>
      <x:c r="I642" t="n">
        <x:f>--AND(H642=1,G642=1)</x:f>
        <x:v>0</x:v>
      </x:c>
      <x:c r="J642" t="n">
        <x:f>--AND(F642=1,E642='Calculator'!$B$4)</x:f>
        <x:v>0</x:v>
      </x:c>
      <x:c r="K642" t="n">
        <x:f>--AND(J642=1,G642=1)</x:f>
        <x:v>0</x:v>
      </x:c>
      <x:c r="L642" t="str">
        <x:f>A642&amp;"/"&amp;B642&amp;"/"&amp;C642</x:f>
        <x:v>12/10/6</x:v>
      </x:c>
      <x:c r="M642" t="str">
        <x:f>MIN(15,A642+'Calculator'!$B$6)&amp;"/"&amp;MIN(15,B642+'Calculator'!$B$6)&amp;"/"&amp;MIN(15,C642+'Calculator'!$B$6)</x:f>
        <x:v>14/12/8</x:v>
      </x:c>
    </x:row>
    <x:row r="643">
      <x:c r="A643" t="n">
        <x:v>12</x:v>
      </x:c>
      <x:c r="B643" t="n">
        <x:v>10</x:v>
      </x:c>
      <x:c r="C643" t="n">
        <x:v>7</x:v>
      </x:c>
      <x:c r="D643" t="n">
        <x:f>MAX(10,ROUNDDOWN((('Calculator'!$B$10+A643)*SQRT('Calculator'!$B$11+B643)*SQRT('Calculator'!$B$12+C643)*0.59740001^2)/10,0))</x:f>
        <x:v>2293</x:v>
      </x:c>
      <x:c r="E643" t="n">
        <x:f>MAX(10,ROUNDDOWN((('Calculator'!$B$10+A643)*SQRT('Calculator'!$B$11+B643)*SQRT('Calculator'!$B$12+C643)*0.667934^2)/10,0))</x:f>
        <x:v>2867</x:v>
      </x:c>
      <x:c r="F643" t="n">
        <x:f>--AND(A643&gt;='Calculator'!$B$5,B643&gt;='Calculator'!$B$5,C643&gt;='Calculator'!$B$5)</x:f>
        <x:v>1</x:v>
      </x:c>
      <x:c r="G643" t="n">
        <x:f>--AND(A643+'Calculator'!$B$6&gt;=15,B643+'Calculator'!$B$6&gt;=15,C643+'Calculator'!$B$6&gt;=15)</x:f>
        <x:v>0</x:v>
      </x:c>
      <x:c r="H643" t="n">
        <x:f>--AND(F643=1,D643='Calculator'!$B$4)</x:f>
        <x:v>0</x:v>
      </x:c>
      <x:c r="I643" t="n">
        <x:f>--AND(H643=1,G643=1)</x:f>
        <x:v>0</x:v>
      </x:c>
      <x:c r="J643" t="n">
        <x:f>--AND(F643=1,E643='Calculator'!$B$4)</x:f>
        <x:v>0</x:v>
      </x:c>
      <x:c r="K643" t="n">
        <x:f>--AND(J643=1,G643=1)</x:f>
        <x:v>0</x:v>
      </x:c>
      <x:c r="L643" t="str">
        <x:f>A643&amp;"/"&amp;B643&amp;"/"&amp;C643</x:f>
        <x:v>12/10/7</x:v>
      </x:c>
      <x:c r="M643" t="str">
        <x:f>MIN(15,A643+'Calculator'!$B$6)&amp;"/"&amp;MIN(15,B643+'Calculator'!$B$6)&amp;"/"&amp;MIN(15,C643+'Calculator'!$B$6)</x:f>
        <x:v>14/12/9</x:v>
      </x:c>
    </x:row>
    <x:row r="644">
      <x:c r="A644" t="n">
        <x:v>12</x:v>
      </x:c>
      <x:c r="B644" t="n">
        <x:v>10</x:v>
      </x:c>
      <x:c r="C644" t="n">
        <x:v>8</x:v>
      </x:c>
      <x:c r="D644" t="n">
        <x:f>MAX(10,ROUNDDOWN((('Calculator'!$B$10+A644)*SQRT('Calculator'!$B$11+B644)*SQRT('Calculator'!$B$12+C644)*0.59740001^2)/10,0))</x:f>
        <x:v>2298</x:v>
      </x:c>
      <x:c r="E644" t="n">
        <x:f>MAX(10,ROUNDDOWN((('Calculator'!$B$10+A644)*SQRT('Calculator'!$B$11+B644)*SQRT('Calculator'!$B$12+C644)*0.667934^2)/10,0))</x:f>
        <x:v>2873</x:v>
      </x:c>
      <x:c r="F644" t="n">
        <x:f>--AND(A644&gt;='Calculator'!$B$5,B644&gt;='Calculator'!$B$5,C644&gt;='Calculator'!$B$5)</x:f>
        <x:v>1</x:v>
      </x:c>
      <x:c r="G644" t="n">
        <x:f>--AND(A644+'Calculator'!$B$6&gt;=15,B644+'Calculator'!$B$6&gt;=15,C644+'Calculator'!$B$6&gt;=15)</x:f>
        <x:v>0</x:v>
      </x:c>
      <x:c r="H644" t="n">
        <x:f>--AND(F644=1,D644='Calculator'!$B$4)</x:f>
        <x:v>0</x:v>
      </x:c>
      <x:c r="I644" t="n">
        <x:f>--AND(H644=1,G644=1)</x:f>
        <x:v>0</x:v>
      </x:c>
      <x:c r="J644" t="n">
        <x:f>--AND(F644=1,E644='Calculator'!$B$4)</x:f>
        <x:v>0</x:v>
      </x:c>
      <x:c r="K644" t="n">
        <x:f>--AND(J644=1,G644=1)</x:f>
        <x:v>0</x:v>
      </x:c>
      <x:c r="L644" t="str">
        <x:f>A644&amp;"/"&amp;B644&amp;"/"&amp;C644</x:f>
        <x:v>12/10/8</x:v>
      </x:c>
      <x:c r="M644" t="str">
        <x:f>MIN(15,A644+'Calculator'!$B$6)&amp;"/"&amp;MIN(15,B644+'Calculator'!$B$6)&amp;"/"&amp;MIN(15,C644+'Calculator'!$B$6)</x:f>
        <x:v>14/12/10</x:v>
      </x:c>
    </x:row>
    <x:row r="645">
      <x:c r="A645" t="n">
        <x:v>12</x:v>
      </x:c>
      <x:c r="B645" t="n">
        <x:v>10</x:v>
      </x:c>
      <x:c r="C645" t="n">
        <x:v>9</x:v>
      </x:c>
      <x:c r="D645" t="n">
        <x:f>MAX(10,ROUNDDOWN((('Calculator'!$B$10+A645)*SQRT('Calculator'!$B$11+B645)*SQRT('Calculator'!$B$12+C645)*0.59740001^2)/10,0))</x:f>
        <x:v>2304</x:v>
      </x:c>
      <x:c r="E645" t="n">
        <x:f>MAX(10,ROUNDDOWN((('Calculator'!$B$10+A645)*SQRT('Calculator'!$B$11+B645)*SQRT('Calculator'!$B$12+C645)*0.667934^2)/10,0))</x:f>
        <x:v>2880</x:v>
      </x:c>
      <x:c r="F645" t="n">
        <x:f>--AND(A645&gt;='Calculator'!$B$5,B645&gt;='Calculator'!$B$5,C645&gt;='Calculator'!$B$5)</x:f>
        <x:v>1</x:v>
      </x:c>
      <x:c r="G645" t="n">
        <x:f>--AND(A645+'Calculator'!$B$6&gt;=15,B645+'Calculator'!$B$6&gt;=15,C645+'Calculator'!$B$6&gt;=15)</x:f>
        <x:v>0</x:v>
      </x:c>
      <x:c r="H645" t="n">
        <x:f>--AND(F645=1,D645='Calculator'!$B$4)</x:f>
        <x:v>0</x:v>
      </x:c>
      <x:c r="I645" t="n">
        <x:f>--AND(H645=1,G645=1)</x:f>
        <x:v>0</x:v>
      </x:c>
      <x:c r="J645" t="n">
        <x:f>--AND(F645=1,E645='Calculator'!$B$4)</x:f>
        <x:v>0</x:v>
      </x:c>
      <x:c r="K645" t="n">
        <x:f>--AND(J645=1,G645=1)</x:f>
        <x:v>0</x:v>
      </x:c>
      <x:c r="L645" t="str">
        <x:f>A645&amp;"/"&amp;B645&amp;"/"&amp;C645</x:f>
        <x:v>12/10/9</x:v>
      </x:c>
      <x:c r="M645" t="str">
        <x:f>MIN(15,A645+'Calculator'!$B$6)&amp;"/"&amp;MIN(15,B645+'Calculator'!$B$6)&amp;"/"&amp;MIN(15,C645+'Calculator'!$B$6)</x:f>
        <x:v>14/12/11</x:v>
      </x:c>
    </x:row>
    <x:row r="646">
      <x:c r="A646" t="n">
        <x:v>12</x:v>
      </x:c>
      <x:c r="B646" t="n">
        <x:v>10</x:v>
      </x:c>
      <x:c r="C646" t="n">
        <x:v>10</x:v>
      </x:c>
      <x:c r="D646" t="n">
        <x:f>MAX(10,ROUNDDOWN((('Calculator'!$B$10+A646)*SQRT('Calculator'!$B$11+B646)*SQRT('Calculator'!$B$12+C646)*0.59740001^2)/10,0))</x:f>
        <x:v>2309</x:v>
      </x:c>
      <x:c r="E646" t="n">
        <x:f>MAX(10,ROUNDDOWN((('Calculator'!$B$10+A646)*SQRT('Calculator'!$B$11+B646)*SQRT('Calculator'!$B$12+C646)*0.667934^2)/10,0))</x:f>
        <x:v>2886</x:v>
      </x:c>
      <x:c r="F646" t="n">
        <x:f>--AND(A646&gt;='Calculator'!$B$5,B646&gt;='Calculator'!$B$5,C646&gt;='Calculator'!$B$5)</x:f>
        <x:v>1</x:v>
      </x:c>
      <x:c r="G646" t="n">
        <x:f>--AND(A646+'Calculator'!$B$6&gt;=15,B646+'Calculator'!$B$6&gt;=15,C646+'Calculator'!$B$6&gt;=15)</x:f>
        <x:v>0</x:v>
      </x:c>
      <x:c r="H646" t="n">
        <x:f>--AND(F646=1,D646='Calculator'!$B$4)</x:f>
        <x:v>0</x:v>
      </x:c>
      <x:c r="I646" t="n">
        <x:f>--AND(H646=1,G646=1)</x:f>
        <x:v>0</x:v>
      </x:c>
      <x:c r="J646" t="n">
        <x:f>--AND(F646=1,E646='Calculator'!$B$4)</x:f>
        <x:v>0</x:v>
      </x:c>
      <x:c r="K646" t="n">
        <x:f>--AND(J646=1,G646=1)</x:f>
        <x:v>0</x:v>
      </x:c>
      <x:c r="L646" t="str">
        <x:f>A646&amp;"/"&amp;B646&amp;"/"&amp;C646</x:f>
        <x:v>12/10/10</x:v>
      </x:c>
      <x:c r="M646" t="str">
        <x:f>MIN(15,A646+'Calculator'!$B$6)&amp;"/"&amp;MIN(15,B646+'Calculator'!$B$6)&amp;"/"&amp;MIN(15,C646+'Calculator'!$B$6)</x:f>
        <x:v>14/12/12</x:v>
      </x:c>
    </x:row>
    <x:row r="647">
      <x:c r="A647" t="n">
        <x:v>12</x:v>
      </x:c>
      <x:c r="B647" t="n">
        <x:v>10</x:v>
      </x:c>
      <x:c r="C647" t="n">
        <x:v>11</x:v>
      </x:c>
      <x:c r="D647" t="n">
        <x:f>MAX(10,ROUNDDOWN((('Calculator'!$B$10+A647)*SQRT('Calculator'!$B$11+B647)*SQRT('Calculator'!$B$12+C647)*0.59740001^2)/10,0))</x:f>
        <x:v>2314</x:v>
      </x:c>
      <x:c r="E647" t="n">
        <x:f>MAX(10,ROUNDDOWN((('Calculator'!$B$10+A647)*SQRT('Calculator'!$B$11+B647)*SQRT('Calculator'!$B$12+C647)*0.667934^2)/10,0))</x:f>
        <x:v>2893</x:v>
      </x:c>
      <x:c r="F647" t="n">
        <x:f>--AND(A647&gt;='Calculator'!$B$5,B647&gt;='Calculator'!$B$5,C647&gt;='Calculator'!$B$5)</x:f>
        <x:v>1</x:v>
      </x:c>
      <x:c r="G647" t="n">
        <x:f>--AND(A647+'Calculator'!$B$6&gt;=15,B647+'Calculator'!$B$6&gt;=15,C647+'Calculator'!$B$6&gt;=15)</x:f>
        <x:v>0</x:v>
      </x:c>
      <x:c r="H647" t="n">
        <x:f>--AND(F647=1,D647='Calculator'!$B$4)</x:f>
        <x:v>0</x:v>
      </x:c>
      <x:c r="I647" t="n">
        <x:f>--AND(H647=1,G647=1)</x:f>
        <x:v>0</x:v>
      </x:c>
      <x:c r="J647" t="n">
        <x:f>--AND(F647=1,E647='Calculator'!$B$4)</x:f>
        <x:v>0</x:v>
      </x:c>
      <x:c r="K647" t="n">
        <x:f>--AND(J647=1,G647=1)</x:f>
        <x:v>0</x:v>
      </x:c>
      <x:c r="L647" t="str">
        <x:f>A647&amp;"/"&amp;B647&amp;"/"&amp;C647</x:f>
        <x:v>12/10/11</x:v>
      </x:c>
      <x:c r="M647" t="str">
        <x:f>MIN(15,A647+'Calculator'!$B$6)&amp;"/"&amp;MIN(15,B647+'Calculator'!$B$6)&amp;"/"&amp;MIN(15,C647+'Calculator'!$B$6)</x:f>
        <x:v>14/12/13</x:v>
      </x:c>
    </x:row>
    <x:row r="648">
      <x:c r="A648" t="n">
        <x:v>12</x:v>
      </x:c>
      <x:c r="B648" t="n">
        <x:v>10</x:v>
      </x:c>
      <x:c r="C648" t="n">
        <x:v>12</x:v>
      </x:c>
      <x:c r="D648" t="n">
        <x:f>MAX(10,ROUNDDOWN((('Calculator'!$B$10+A648)*SQRT('Calculator'!$B$11+B648)*SQRT('Calculator'!$B$12+C648)*0.59740001^2)/10,0))</x:f>
        <x:v>2319</x:v>
      </x:c>
      <x:c r="E648" t="n">
        <x:f>MAX(10,ROUNDDOWN((('Calculator'!$B$10+A648)*SQRT('Calculator'!$B$11+B648)*SQRT('Calculator'!$B$12+C648)*0.667934^2)/10,0))</x:f>
        <x:v>2899</x:v>
      </x:c>
      <x:c r="F648" t="n">
        <x:f>--AND(A648&gt;='Calculator'!$B$5,B648&gt;='Calculator'!$B$5,C648&gt;='Calculator'!$B$5)</x:f>
        <x:v>1</x:v>
      </x:c>
      <x:c r="G648" t="n">
        <x:f>--AND(A648+'Calculator'!$B$6&gt;=15,B648+'Calculator'!$B$6&gt;=15,C648+'Calculator'!$B$6&gt;=15)</x:f>
        <x:v>0</x:v>
      </x:c>
      <x:c r="H648" t="n">
        <x:f>--AND(F648=1,D648='Calculator'!$B$4)</x:f>
        <x:v>0</x:v>
      </x:c>
      <x:c r="I648" t="n">
        <x:f>--AND(H648=1,G648=1)</x:f>
        <x:v>0</x:v>
      </x:c>
      <x:c r="J648" t="n">
        <x:f>--AND(F648=1,E648='Calculator'!$B$4)</x:f>
        <x:v>0</x:v>
      </x:c>
      <x:c r="K648" t="n">
        <x:f>--AND(J648=1,G648=1)</x:f>
        <x:v>0</x:v>
      </x:c>
      <x:c r="L648" t="str">
        <x:f>A648&amp;"/"&amp;B648&amp;"/"&amp;C648</x:f>
        <x:v>12/10/12</x:v>
      </x:c>
      <x:c r="M648" t="str">
        <x:f>MIN(15,A648+'Calculator'!$B$6)&amp;"/"&amp;MIN(15,B648+'Calculator'!$B$6)&amp;"/"&amp;MIN(15,C648+'Calculator'!$B$6)</x:f>
        <x:v>14/12/14</x:v>
      </x:c>
    </x:row>
    <x:row r="649">
      <x:c r="A649" t="n">
        <x:v>12</x:v>
      </x:c>
      <x:c r="B649" t="n">
        <x:v>10</x:v>
      </x:c>
      <x:c r="C649" t="n">
        <x:v>13</x:v>
      </x:c>
      <x:c r="D649" t="n">
        <x:f>MAX(10,ROUNDDOWN((('Calculator'!$B$10+A649)*SQRT('Calculator'!$B$11+B649)*SQRT('Calculator'!$B$12+C649)*0.59740001^2)/10,0))</x:f>
        <x:v>2324</x:v>
      </x:c>
      <x:c r="E649" t="n">
        <x:f>MAX(10,ROUNDDOWN((('Calculator'!$B$10+A649)*SQRT('Calculator'!$B$11+B649)*SQRT('Calculator'!$B$12+C649)*0.667934^2)/10,0))</x:f>
        <x:v>2905</x:v>
      </x:c>
      <x:c r="F649" t="n">
        <x:f>--AND(A649&gt;='Calculator'!$B$5,B649&gt;='Calculator'!$B$5,C649&gt;='Calculator'!$B$5)</x:f>
        <x:v>1</x:v>
      </x:c>
      <x:c r="G649" t="n">
        <x:f>--AND(A649+'Calculator'!$B$6&gt;=15,B649+'Calculator'!$B$6&gt;=15,C649+'Calculator'!$B$6&gt;=15)</x:f>
        <x:v>0</x:v>
      </x:c>
      <x:c r="H649" t="n">
        <x:f>--AND(F649=1,D649='Calculator'!$B$4)</x:f>
        <x:v>0</x:v>
      </x:c>
      <x:c r="I649" t="n">
        <x:f>--AND(H649=1,G649=1)</x:f>
        <x:v>0</x:v>
      </x:c>
      <x:c r="J649" t="n">
        <x:f>--AND(F649=1,E649='Calculator'!$B$4)</x:f>
        <x:v>0</x:v>
      </x:c>
      <x:c r="K649" t="n">
        <x:f>--AND(J649=1,G649=1)</x:f>
        <x:v>0</x:v>
      </x:c>
      <x:c r="L649" t="str">
        <x:f>A649&amp;"/"&amp;B649&amp;"/"&amp;C649</x:f>
        <x:v>12/10/13</x:v>
      </x:c>
      <x:c r="M649" t="str">
        <x:f>MIN(15,A649+'Calculator'!$B$6)&amp;"/"&amp;MIN(15,B649+'Calculator'!$B$6)&amp;"/"&amp;MIN(15,C649+'Calculator'!$B$6)</x:f>
        <x:v>14/12/15</x:v>
      </x:c>
    </x:row>
    <x:row r="650">
      <x:c r="A650" t="n">
        <x:v>12</x:v>
      </x:c>
      <x:c r="B650" t="n">
        <x:v>10</x:v>
      </x:c>
      <x:c r="C650" t="n">
        <x:v>14</x:v>
      </x:c>
      <x:c r="D650" t="n">
        <x:f>MAX(10,ROUNDDOWN((('Calculator'!$B$10+A650)*SQRT('Calculator'!$B$11+B650)*SQRT('Calculator'!$B$12+C650)*0.59740001^2)/10,0))</x:f>
        <x:v>2329</x:v>
      </x:c>
      <x:c r="E650" t="n">
        <x:f>MAX(10,ROUNDDOWN((('Calculator'!$B$10+A650)*SQRT('Calculator'!$B$11+B650)*SQRT('Calculator'!$B$12+C650)*0.667934^2)/10,0))</x:f>
        <x:v>2912</x:v>
      </x:c>
      <x:c r="F650" t="n">
        <x:f>--AND(A650&gt;='Calculator'!$B$5,B650&gt;='Calculator'!$B$5,C650&gt;='Calculator'!$B$5)</x:f>
        <x:v>1</x:v>
      </x:c>
      <x:c r="G650" t="n">
        <x:f>--AND(A650+'Calculator'!$B$6&gt;=15,B650+'Calculator'!$B$6&gt;=15,C650+'Calculator'!$B$6&gt;=15)</x:f>
        <x:v>0</x:v>
      </x:c>
      <x:c r="H650" t="n">
        <x:f>--AND(F650=1,D650='Calculator'!$B$4)</x:f>
        <x:v>0</x:v>
      </x:c>
      <x:c r="I650" t="n">
        <x:f>--AND(H650=1,G650=1)</x:f>
        <x:v>0</x:v>
      </x:c>
      <x:c r="J650" t="n">
        <x:f>--AND(F650=1,E650='Calculator'!$B$4)</x:f>
        <x:v>0</x:v>
      </x:c>
      <x:c r="K650" t="n">
        <x:f>--AND(J650=1,G650=1)</x:f>
        <x:v>0</x:v>
      </x:c>
      <x:c r="L650" t="str">
        <x:f>A650&amp;"/"&amp;B650&amp;"/"&amp;C650</x:f>
        <x:v>12/10/14</x:v>
      </x:c>
      <x:c r="M650" t="str">
        <x:f>MIN(15,A650+'Calculator'!$B$6)&amp;"/"&amp;MIN(15,B650+'Calculator'!$B$6)&amp;"/"&amp;MIN(15,C650+'Calculator'!$B$6)</x:f>
        <x:v>14/12/15</x:v>
      </x:c>
    </x:row>
    <x:row r="651">
      <x:c r="A651" t="n">
        <x:v>12</x:v>
      </x:c>
      <x:c r="B651" t="n">
        <x:v>10</x:v>
      </x:c>
      <x:c r="C651" t="n">
        <x:v>15</x:v>
      </x:c>
      <x:c r="D651" t="n">
        <x:f>MAX(10,ROUNDDOWN((('Calculator'!$B$10+A651)*SQRT('Calculator'!$B$11+B651)*SQRT('Calculator'!$B$12+C651)*0.59740001^2)/10,0))</x:f>
        <x:v>2334</x:v>
      </x:c>
      <x:c r="E651" t="n">
        <x:f>MAX(10,ROUNDDOWN((('Calculator'!$B$10+A651)*SQRT('Calculator'!$B$11+B651)*SQRT('Calculator'!$B$12+C651)*0.667934^2)/10,0))</x:f>
        <x:v>2918</x:v>
      </x:c>
      <x:c r="F651" t="n">
        <x:f>--AND(A651&gt;='Calculator'!$B$5,B651&gt;='Calculator'!$B$5,C651&gt;='Calculator'!$B$5)</x:f>
        <x:v>1</x:v>
      </x:c>
      <x:c r="G651" t="n">
        <x:f>--AND(A651+'Calculator'!$B$6&gt;=15,B651+'Calculator'!$B$6&gt;=15,C651+'Calculator'!$B$6&gt;=15)</x:f>
        <x:v>0</x:v>
      </x:c>
      <x:c r="H651" t="n">
        <x:f>--AND(F651=1,D651='Calculator'!$B$4)</x:f>
        <x:v>0</x:v>
      </x:c>
      <x:c r="I651" t="n">
        <x:f>--AND(H651=1,G651=1)</x:f>
        <x:v>0</x:v>
      </x:c>
      <x:c r="J651" t="n">
        <x:f>--AND(F651=1,E651='Calculator'!$B$4)</x:f>
        <x:v>0</x:v>
      </x:c>
      <x:c r="K651" t="n">
        <x:f>--AND(J651=1,G651=1)</x:f>
        <x:v>0</x:v>
      </x:c>
      <x:c r="L651" t="str">
        <x:f>A651&amp;"/"&amp;B651&amp;"/"&amp;C651</x:f>
        <x:v>12/10/15</x:v>
      </x:c>
      <x:c r="M651" t="str">
        <x:f>MIN(15,A651+'Calculator'!$B$6)&amp;"/"&amp;MIN(15,B651+'Calculator'!$B$6)&amp;"/"&amp;MIN(15,C651+'Calculator'!$B$6)</x:f>
        <x:v>14/12/15</x:v>
      </x:c>
    </x:row>
    <x:row r="652">
      <x:c r="A652" t="n">
        <x:v>12</x:v>
      </x:c>
      <x:c r="B652" t="n">
        <x:v>11</x:v>
      </x:c>
      <x:c r="C652" t="n">
        <x:v>6</x:v>
      </x:c>
      <x:c r="D652" t="n">
        <x:f>MAX(10,ROUNDDOWN((('Calculator'!$B$10+A652)*SQRT('Calculator'!$B$11+B652)*SQRT('Calculator'!$B$12+C652)*0.59740001^2)/10,0))</x:f>
        <x:v>2294</x:v>
      </x:c>
      <x:c r="E652" t="n">
        <x:f>MAX(10,ROUNDDOWN((('Calculator'!$B$10+A652)*SQRT('Calculator'!$B$11+B652)*SQRT('Calculator'!$B$12+C652)*0.667934^2)/10,0))</x:f>
        <x:v>2868</x:v>
      </x:c>
      <x:c r="F652" t="n">
        <x:f>--AND(A652&gt;='Calculator'!$B$5,B652&gt;='Calculator'!$B$5,C652&gt;='Calculator'!$B$5)</x:f>
        <x:v>1</x:v>
      </x:c>
      <x:c r="G652" t="n">
        <x:f>--AND(A652+'Calculator'!$B$6&gt;=15,B652+'Calculator'!$B$6&gt;=15,C652+'Calculator'!$B$6&gt;=15)</x:f>
        <x:v>0</x:v>
      </x:c>
      <x:c r="H652" t="n">
        <x:f>--AND(F652=1,D652='Calculator'!$B$4)</x:f>
        <x:v>0</x:v>
      </x:c>
      <x:c r="I652" t="n">
        <x:f>--AND(H652=1,G652=1)</x:f>
        <x:v>0</x:v>
      </x:c>
      <x:c r="J652" t="n">
        <x:f>--AND(F652=1,E652='Calculator'!$B$4)</x:f>
        <x:v>0</x:v>
      </x:c>
      <x:c r="K652" t="n">
        <x:f>--AND(J652=1,G652=1)</x:f>
        <x:v>0</x:v>
      </x:c>
      <x:c r="L652" t="str">
        <x:f>A652&amp;"/"&amp;B652&amp;"/"&amp;C652</x:f>
        <x:v>12/11/6</x:v>
      </x:c>
      <x:c r="M652" t="str">
        <x:f>MIN(15,A652+'Calculator'!$B$6)&amp;"/"&amp;MIN(15,B652+'Calculator'!$B$6)&amp;"/"&amp;MIN(15,C652+'Calculator'!$B$6)</x:f>
        <x:v>14/13/8</x:v>
      </x:c>
    </x:row>
    <x:row r="653">
      <x:c r="A653" t="n">
        <x:v>12</x:v>
      </x:c>
      <x:c r="B653" t="n">
        <x:v>11</x:v>
      </x:c>
      <x:c r="C653" t="n">
        <x:v>7</x:v>
      </x:c>
      <x:c r="D653" t="n">
        <x:f>MAX(10,ROUNDDOWN((('Calculator'!$B$10+A653)*SQRT('Calculator'!$B$11+B653)*SQRT('Calculator'!$B$12+C653)*0.59740001^2)/10,0))</x:f>
        <x:v>2299</x:v>
      </x:c>
      <x:c r="E653" t="n">
        <x:f>MAX(10,ROUNDDOWN((('Calculator'!$B$10+A653)*SQRT('Calculator'!$B$11+B653)*SQRT('Calculator'!$B$12+C653)*0.667934^2)/10,0))</x:f>
        <x:v>2874</x:v>
      </x:c>
      <x:c r="F653" t="n">
        <x:f>--AND(A653&gt;='Calculator'!$B$5,B653&gt;='Calculator'!$B$5,C653&gt;='Calculator'!$B$5)</x:f>
        <x:v>1</x:v>
      </x:c>
      <x:c r="G653" t="n">
        <x:f>--AND(A653+'Calculator'!$B$6&gt;=15,B653+'Calculator'!$B$6&gt;=15,C653+'Calculator'!$B$6&gt;=15)</x:f>
        <x:v>0</x:v>
      </x:c>
      <x:c r="H653" t="n">
        <x:f>--AND(F653=1,D653='Calculator'!$B$4)</x:f>
        <x:v>0</x:v>
      </x:c>
      <x:c r="I653" t="n">
        <x:f>--AND(H653=1,G653=1)</x:f>
        <x:v>0</x:v>
      </x:c>
      <x:c r="J653" t="n">
        <x:f>--AND(F653=1,E653='Calculator'!$B$4)</x:f>
        <x:v>0</x:v>
      </x:c>
      <x:c r="K653" t="n">
        <x:f>--AND(J653=1,G653=1)</x:f>
        <x:v>0</x:v>
      </x:c>
      <x:c r="L653" t="str">
        <x:f>A653&amp;"/"&amp;B653&amp;"/"&amp;C653</x:f>
        <x:v>12/11/7</x:v>
      </x:c>
      <x:c r="M653" t="str">
        <x:f>MIN(15,A653+'Calculator'!$B$6)&amp;"/"&amp;MIN(15,B653+'Calculator'!$B$6)&amp;"/"&amp;MIN(15,C653+'Calculator'!$B$6)</x:f>
        <x:v>14/13/9</x:v>
      </x:c>
    </x:row>
    <x:row r="654">
      <x:c r="A654" t="n">
        <x:v>12</x:v>
      </x:c>
      <x:c r="B654" t="n">
        <x:v>11</x:v>
      </x:c>
      <x:c r="C654" t="n">
        <x:v>8</x:v>
      </x:c>
      <x:c r="D654" t="n">
        <x:f>MAX(10,ROUNDDOWN((('Calculator'!$B$10+A654)*SQRT('Calculator'!$B$11+B654)*SQRT('Calculator'!$B$12+C654)*0.59740001^2)/10,0))</x:f>
        <x:v>2304</x:v>
      </x:c>
      <x:c r="E654" t="n">
        <x:f>MAX(10,ROUNDDOWN((('Calculator'!$B$10+A654)*SQRT('Calculator'!$B$11+B654)*SQRT('Calculator'!$B$12+C654)*0.667934^2)/10,0))</x:f>
        <x:v>2881</x:v>
      </x:c>
      <x:c r="F654" t="n">
        <x:f>--AND(A654&gt;='Calculator'!$B$5,B654&gt;='Calculator'!$B$5,C654&gt;='Calculator'!$B$5)</x:f>
        <x:v>1</x:v>
      </x:c>
      <x:c r="G654" t="n">
        <x:f>--AND(A654+'Calculator'!$B$6&gt;=15,B654+'Calculator'!$B$6&gt;=15,C654+'Calculator'!$B$6&gt;=15)</x:f>
        <x:v>0</x:v>
      </x:c>
      <x:c r="H654" t="n">
        <x:f>--AND(F654=1,D654='Calculator'!$B$4)</x:f>
        <x:v>0</x:v>
      </x:c>
      <x:c r="I654" t="n">
        <x:f>--AND(H654=1,G654=1)</x:f>
        <x:v>0</x:v>
      </x:c>
      <x:c r="J654" t="n">
        <x:f>--AND(F654=1,E654='Calculator'!$B$4)</x:f>
        <x:v>0</x:v>
      </x:c>
      <x:c r="K654" t="n">
        <x:f>--AND(J654=1,G654=1)</x:f>
        <x:v>0</x:v>
      </x:c>
      <x:c r="L654" t="str">
        <x:f>A654&amp;"/"&amp;B654&amp;"/"&amp;C654</x:f>
        <x:v>12/11/8</x:v>
      </x:c>
      <x:c r="M654" t="str">
        <x:f>MIN(15,A654+'Calculator'!$B$6)&amp;"/"&amp;MIN(15,B654+'Calculator'!$B$6)&amp;"/"&amp;MIN(15,C654+'Calculator'!$B$6)</x:f>
        <x:v>14/13/10</x:v>
      </x:c>
    </x:row>
    <x:row r="655">
      <x:c r="A655" t="n">
        <x:v>12</x:v>
      </x:c>
      <x:c r="B655" t="n">
        <x:v>11</x:v>
      </x:c>
      <x:c r="C655" t="n">
        <x:v>9</x:v>
      </x:c>
      <x:c r="D655" t="n">
        <x:f>MAX(10,ROUNDDOWN((('Calculator'!$B$10+A655)*SQRT('Calculator'!$B$11+B655)*SQRT('Calculator'!$B$12+C655)*0.59740001^2)/10,0))</x:f>
        <x:v>2310</x:v>
      </x:c>
      <x:c r="E655" t="n">
        <x:f>MAX(10,ROUNDDOWN((('Calculator'!$B$10+A655)*SQRT('Calculator'!$B$11+B655)*SQRT('Calculator'!$B$12+C655)*0.667934^2)/10,0))</x:f>
        <x:v>2887</x:v>
      </x:c>
      <x:c r="F655" t="n">
        <x:f>--AND(A655&gt;='Calculator'!$B$5,B655&gt;='Calculator'!$B$5,C655&gt;='Calculator'!$B$5)</x:f>
        <x:v>1</x:v>
      </x:c>
      <x:c r="G655" t="n">
        <x:f>--AND(A655+'Calculator'!$B$6&gt;=15,B655+'Calculator'!$B$6&gt;=15,C655+'Calculator'!$B$6&gt;=15)</x:f>
        <x:v>0</x:v>
      </x:c>
      <x:c r="H655" t="n">
        <x:f>--AND(F655=1,D655='Calculator'!$B$4)</x:f>
        <x:v>0</x:v>
      </x:c>
      <x:c r="I655" t="n">
        <x:f>--AND(H655=1,G655=1)</x:f>
        <x:v>0</x:v>
      </x:c>
      <x:c r="J655" t="n">
        <x:f>--AND(F655=1,E655='Calculator'!$B$4)</x:f>
        <x:v>0</x:v>
      </x:c>
      <x:c r="K655" t="n">
        <x:f>--AND(J655=1,G655=1)</x:f>
        <x:v>0</x:v>
      </x:c>
      <x:c r="L655" t="str">
        <x:f>A655&amp;"/"&amp;B655&amp;"/"&amp;C655</x:f>
        <x:v>12/11/9</x:v>
      </x:c>
      <x:c r="M655" t="str">
        <x:f>MIN(15,A655+'Calculator'!$B$6)&amp;"/"&amp;MIN(15,B655+'Calculator'!$B$6)&amp;"/"&amp;MIN(15,C655+'Calculator'!$B$6)</x:f>
        <x:v>14/13/11</x:v>
      </x:c>
    </x:row>
    <x:row r="656">
      <x:c r="A656" t="n">
        <x:v>12</x:v>
      </x:c>
      <x:c r="B656" t="n">
        <x:v>11</x:v>
      </x:c>
      <x:c r="C656" t="n">
        <x:v>10</x:v>
      </x:c>
      <x:c r="D656" t="n">
        <x:f>MAX(10,ROUNDDOWN((('Calculator'!$B$10+A656)*SQRT('Calculator'!$B$11+B656)*SQRT('Calculator'!$B$12+C656)*0.59740001^2)/10,0))</x:f>
        <x:v>2315</x:v>
      </x:c>
      <x:c r="E656" t="n">
        <x:f>MAX(10,ROUNDDOWN((('Calculator'!$B$10+A656)*SQRT('Calculator'!$B$11+B656)*SQRT('Calculator'!$B$12+C656)*0.667934^2)/10,0))</x:f>
        <x:v>2894</x:v>
      </x:c>
      <x:c r="F656" t="n">
        <x:f>--AND(A656&gt;='Calculator'!$B$5,B656&gt;='Calculator'!$B$5,C656&gt;='Calculator'!$B$5)</x:f>
        <x:v>1</x:v>
      </x:c>
      <x:c r="G656" t="n">
        <x:f>--AND(A656+'Calculator'!$B$6&gt;=15,B656+'Calculator'!$B$6&gt;=15,C656+'Calculator'!$B$6&gt;=15)</x:f>
        <x:v>0</x:v>
      </x:c>
      <x:c r="H656" t="n">
        <x:f>--AND(F656=1,D656='Calculator'!$B$4)</x:f>
        <x:v>0</x:v>
      </x:c>
      <x:c r="I656" t="n">
        <x:f>--AND(H656=1,G656=1)</x:f>
        <x:v>0</x:v>
      </x:c>
      <x:c r="J656" t="n">
        <x:f>--AND(F656=1,E656='Calculator'!$B$4)</x:f>
        <x:v>0</x:v>
      </x:c>
      <x:c r="K656" t="n">
        <x:f>--AND(J656=1,G656=1)</x:f>
        <x:v>0</x:v>
      </x:c>
      <x:c r="L656" t="str">
        <x:f>A656&amp;"/"&amp;B656&amp;"/"&amp;C656</x:f>
        <x:v>12/11/10</x:v>
      </x:c>
      <x:c r="M656" t="str">
        <x:f>MIN(15,A656+'Calculator'!$B$6)&amp;"/"&amp;MIN(15,B656+'Calculator'!$B$6)&amp;"/"&amp;MIN(15,C656+'Calculator'!$B$6)</x:f>
        <x:v>14/13/12</x:v>
      </x:c>
    </x:row>
    <x:row r="657">
      <x:c r="A657" t="n">
        <x:v>12</x:v>
      </x:c>
      <x:c r="B657" t="n">
        <x:v>11</x:v>
      </x:c>
      <x:c r="C657" t="n">
        <x:v>11</x:v>
      </x:c>
      <x:c r="D657" t="n">
        <x:f>MAX(10,ROUNDDOWN((('Calculator'!$B$10+A657)*SQRT('Calculator'!$B$11+B657)*SQRT('Calculator'!$B$12+C657)*0.59740001^2)/10,0))</x:f>
        <x:v>2320</x:v>
      </x:c>
      <x:c r="E657" t="n">
        <x:f>MAX(10,ROUNDDOWN((('Calculator'!$B$10+A657)*SQRT('Calculator'!$B$11+B657)*SQRT('Calculator'!$B$12+C657)*0.667934^2)/10,0))</x:f>
        <x:v>2900</x:v>
      </x:c>
      <x:c r="F657" t="n">
        <x:f>--AND(A657&gt;='Calculator'!$B$5,B657&gt;='Calculator'!$B$5,C657&gt;='Calculator'!$B$5)</x:f>
        <x:v>1</x:v>
      </x:c>
      <x:c r="G657" t="n">
        <x:f>--AND(A657+'Calculator'!$B$6&gt;=15,B657+'Calculator'!$B$6&gt;=15,C657+'Calculator'!$B$6&gt;=15)</x:f>
        <x:v>0</x:v>
      </x:c>
      <x:c r="H657" t="n">
        <x:f>--AND(F657=1,D657='Calculator'!$B$4)</x:f>
        <x:v>0</x:v>
      </x:c>
      <x:c r="I657" t="n">
        <x:f>--AND(H657=1,G657=1)</x:f>
        <x:v>0</x:v>
      </x:c>
      <x:c r="J657" t="n">
        <x:f>--AND(F657=1,E657='Calculator'!$B$4)</x:f>
        <x:v>0</x:v>
      </x:c>
      <x:c r="K657" t="n">
        <x:f>--AND(J657=1,G657=1)</x:f>
        <x:v>0</x:v>
      </x:c>
      <x:c r="L657" t="str">
        <x:f>A657&amp;"/"&amp;B657&amp;"/"&amp;C657</x:f>
        <x:v>12/11/11</x:v>
      </x:c>
      <x:c r="M657" t="str">
        <x:f>MIN(15,A657+'Calculator'!$B$6)&amp;"/"&amp;MIN(15,B657+'Calculator'!$B$6)&amp;"/"&amp;MIN(15,C657+'Calculator'!$B$6)</x:f>
        <x:v>14/13/13</x:v>
      </x:c>
    </x:row>
    <x:row r="658">
      <x:c r="A658" t="n">
        <x:v>12</x:v>
      </x:c>
      <x:c r="B658" t="n">
        <x:v>11</x:v>
      </x:c>
      <x:c r="C658" t="n">
        <x:v>12</x:v>
      </x:c>
      <x:c r="D658" t="n">
        <x:f>MAX(10,ROUNDDOWN((('Calculator'!$B$10+A658)*SQRT('Calculator'!$B$11+B658)*SQRT('Calculator'!$B$12+C658)*0.59740001^2)/10,0))</x:f>
        <x:v>2325</x:v>
      </x:c>
      <x:c r="E658" t="n">
        <x:f>MAX(10,ROUNDDOWN((('Calculator'!$B$10+A658)*SQRT('Calculator'!$B$11+B658)*SQRT('Calculator'!$B$12+C658)*0.667934^2)/10,0))</x:f>
        <x:v>2907</x:v>
      </x:c>
      <x:c r="F658" t="n">
        <x:f>--AND(A658&gt;='Calculator'!$B$5,B658&gt;='Calculator'!$B$5,C658&gt;='Calculator'!$B$5)</x:f>
        <x:v>1</x:v>
      </x:c>
      <x:c r="G658" t="n">
        <x:f>--AND(A658+'Calculator'!$B$6&gt;=15,B658+'Calculator'!$B$6&gt;=15,C658+'Calculator'!$B$6&gt;=15)</x:f>
        <x:v>0</x:v>
      </x:c>
      <x:c r="H658" t="n">
        <x:f>--AND(F658=1,D658='Calculator'!$B$4)</x:f>
        <x:v>0</x:v>
      </x:c>
      <x:c r="I658" t="n">
        <x:f>--AND(H658=1,G658=1)</x:f>
        <x:v>0</x:v>
      </x:c>
      <x:c r="J658" t="n">
        <x:f>--AND(F658=1,E658='Calculator'!$B$4)</x:f>
        <x:v>0</x:v>
      </x:c>
      <x:c r="K658" t="n">
        <x:f>--AND(J658=1,G658=1)</x:f>
        <x:v>0</x:v>
      </x:c>
      <x:c r="L658" t="str">
        <x:f>A658&amp;"/"&amp;B658&amp;"/"&amp;C658</x:f>
        <x:v>12/11/12</x:v>
      </x:c>
      <x:c r="M658" t="str">
        <x:f>MIN(15,A658+'Calculator'!$B$6)&amp;"/"&amp;MIN(15,B658+'Calculator'!$B$6)&amp;"/"&amp;MIN(15,C658+'Calculator'!$B$6)</x:f>
        <x:v>14/13/14</x:v>
      </x:c>
    </x:row>
    <x:row r="659">
      <x:c r="A659" t="n">
        <x:v>12</x:v>
      </x:c>
      <x:c r="B659" t="n">
        <x:v>11</x:v>
      </x:c>
      <x:c r="C659" t="n">
        <x:v>13</x:v>
      </x:c>
      <x:c r="D659" t="n">
        <x:f>MAX(10,ROUNDDOWN((('Calculator'!$B$10+A659)*SQRT('Calculator'!$B$11+B659)*SQRT('Calculator'!$B$12+C659)*0.59740001^2)/10,0))</x:f>
        <x:v>2330</x:v>
      </x:c>
      <x:c r="E659" t="n">
        <x:f>MAX(10,ROUNDDOWN((('Calculator'!$B$10+A659)*SQRT('Calculator'!$B$11+B659)*SQRT('Calculator'!$B$12+C659)*0.667934^2)/10,0))</x:f>
        <x:v>2913</x:v>
      </x:c>
      <x:c r="F659" t="n">
        <x:f>--AND(A659&gt;='Calculator'!$B$5,B659&gt;='Calculator'!$B$5,C659&gt;='Calculator'!$B$5)</x:f>
        <x:v>1</x:v>
      </x:c>
      <x:c r="G659" t="n">
        <x:f>--AND(A659+'Calculator'!$B$6&gt;=15,B659+'Calculator'!$B$6&gt;=15,C659+'Calculator'!$B$6&gt;=15)</x:f>
        <x:v>0</x:v>
      </x:c>
      <x:c r="H659" t="n">
        <x:f>--AND(F659=1,D659='Calculator'!$B$4)</x:f>
        <x:v>0</x:v>
      </x:c>
      <x:c r="I659" t="n">
        <x:f>--AND(H659=1,G659=1)</x:f>
        <x:v>0</x:v>
      </x:c>
      <x:c r="J659" t="n">
        <x:f>--AND(F659=1,E659='Calculator'!$B$4)</x:f>
        <x:v>0</x:v>
      </x:c>
      <x:c r="K659" t="n">
        <x:f>--AND(J659=1,G659=1)</x:f>
        <x:v>0</x:v>
      </x:c>
      <x:c r="L659" t="str">
        <x:f>A659&amp;"/"&amp;B659&amp;"/"&amp;C659</x:f>
        <x:v>12/11/13</x:v>
      </x:c>
      <x:c r="M659" t="str">
        <x:f>MIN(15,A659+'Calculator'!$B$6)&amp;"/"&amp;MIN(15,B659+'Calculator'!$B$6)&amp;"/"&amp;MIN(15,C659+'Calculator'!$B$6)</x:f>
        <x:v>14/13/15</x:v>
      </x:c>
    </x:row>
    <x:row r="660">
      <x:c r="A660" t="n">
        <x:v>12</x:v>
      </x:c>
      <x:c r="B660" t="n">
        <x:v>11</x:v>
      </x:c>
      <x:c r="C660" t="n">
        <x:v>14</x:v>
      </x:c>
      <x:c r="D660" t="n">
        <x:f>MAX(10,ROUNDDOWN((('Calculator'!$B$10+A660)*SQRT('Calculator'!$B$11+B660)*SQRT('Calculator'!$B$12+C660)*0.59740001^2)/10,0))</x:f>
        <x:v>2335</x:v>
      </x:c>
      <x:c r="E660" t="n">
        <x:f>MAX(10,ROUNDDOWN((('Calculator'!$B$10+A660)*SQRT('Calculator'!$B$11+B660)*SQRT('Calculator'!$B$12+C660)*0.667934^2)/10,0))</x:f>
        <x:v>2919</x:v>
      </x:c>
      <x:c r="F660" t="n">
        <x:f>--AND(A660&gt;='Calculator'!$B$5,B660&gt;='Calculator'!$B$5,C660&gt;='Calculator'!$B$5)</x:f>
        <x:v>1</x:v>
      </x:c>
      <x:c r="G660" t="n">
        <x:f>--AND(A660+'Calculator'!$B$6&gt;=15,B660+'Calculator'!$B$6&gt;=15,C660+'Calculator'!$B$6&gt;=15)</x:f>
        <x:v>0</x:v>
      </x:c>
      <x:c r="H660" t="n">
        <x:f>--AND(F660=1,D660='Calculator'!$B$4)</x:f>
        <x:v>0</x:v>
      </x:c>
      <x:c r="I660" t="n">
        <x:f>--AND(H660=1,G660=1)</x:f>
        <x:v>0</x:v>
      </x:c>
      <x:c r="J660" t="n">
        <x:f>--AND(F660=1,E660='Calculator'!$B$4)</x:f>
        <x:v>0</x:v>
      </x:c>
      <x:c r="K660" t="n">
        <x:f>--AND(J660=1,G660=1)</x:f>
        <x:v>0</x:v>
      </x:c>
      <x:c r="L660" t="str">
        <x:f>A660&amp;"/"&amp;B660&amp;"/"&amp;C660</x:f>
        <x:v>12/11/14</x:v>
      </x:c>
      <x:c r="M660" t="str">
        <x:f>MIN(15,A660+'Calculator'!$B$6)&amp;"/"&amp;MIN(15,B660+'Calculator'!$B$6)&amp;"/"&amp;MIN(15,C660+'Calculator'!$B$6)</x:f>
        <x:v>14/13/15</x:v>
      </x:c>
    </x:row>
    <x:row r="661">
      <x:c r="A661" t="n">
        <x:v>12</x:v>
      </x:c>
      <x:c r="B661" t="n">
        <x:v>11</x:v>
      </x:c>
      <x:c r="C661" t="n">
        <x:v>15</x:v>
      </x:c>
      <x:c r="D661" t="n">
        <x:f>MAX(10,ROUNDDOWN((('Calculator'!$B$10+A661)*SQRT('Calculator'!$B$11+B661)*SQRT('Calculator'!$B$12+C661)*0.59740001^2)/10,0))</x:f>
        <x:v>2340</x:v>
      </x:c>
      <x:c r="E661" t="n">
        <x:f>MAX(10,ROUNDDOWN((('Calculator'!$B$10+A661)*SQRT('Calculator'!$B$11+B661)*SQRT('Calculator'!$B$12+C661)*0.667934^2)/10,0))</x:f>
        <x:v>2926</x:v>
      </x:c>
      <x:c r="F661" t="n">
        <x:f>--AND(A661&gt;='Calculator'!$B$5,B661&gt;='Calculator'!$B$5,C661&gt;='Calculator'!$B$5)</x:f>
        <x:v>1</x:v>
      </x:c>
      <x:c r="G661" t="n">
        <x:f>--AND(A661+'Calculator'!$B$6&gt;=15,B661+'Calculator'!$B$6&gt;=15,C661+'Calculator'!$B$6&gt;=15)</x:f>
        <x:v>0</x:v>
      </x:c>
      <x:c r="H661" t="n">
        <x:f>--AND(F661=1,D661='Calculator'!$B$4)</x:f>
        <x:v>0</x:v>
      </x:c>
      <x:c r="I661" t="n">
        <x:f>--AND(H661=1,G661=1)</x:f>
        <x:v>0</x:v>
      </x:c>
      <x:c r="J661" t="n">
        <x:f>--AND(F661=1,E661='Calculator'!$B$4)</x:f>
        <x:v>0</x:v>
      </x:c>
      <x:c r="K661" t="n">
        <x:f>--AND(J661=1,G661=1)</x:f>
        <x:v>0</x:v>
      </x:c>
      <x:c r="L661" t="str">
        <x:f>A661&amp;"/"&amp;B661&amp;"/"&amp;C661</x:f>
        <x:v>12/11/15</x:v>
      </x:c>
      <x:c r="M661" t="str">
        <x:f>MIN(15,A661+'Calculator'!$B$6)&amp;"/"&amp;MIN(15,B661+'Calculator'!$B$6)&amp;"/"&amp;MIN(15,C661+'Calculator'!$B$6)</x:f>
        <x:v>14/13/15</x:v>
      </x:c>
    </x:row>
    <x:row r="662">
      <x:c r="A662" t="n">
        <x:v>12</x:v>
      </x:c>
      <x:c r="B662" t="n">
        <x:v>12</x:v>
      </x:c>
      <x:c r="C662" t="n">
        <x:v>6</x:v>
      </x:c>
      <x:c r="D662" t="n">
        <x:f>MAX(10,ROUNDDOWN((('Calculator'!$B$10+A662)*SQRT('Calculator'!$B$11+B662)*SQRT('Calculator'!$B$12+C662)*0.59740001^2)/10,0))</x:f>
        <x:v>2300</x:v>
      </x:c>
      <x:c r="E662" t="n">
        <x:f>MAX(10,ROUNDDOWN((('Calculator'!$B$10+A662)*SQRT('Calculator'!$B$11+B662)*SQRT('Calculator'!$B$12+C662)*0.667934^2)/10,0))</x:f>
        <x:v>2875</x:v>
      </x:c>
      <x:c r="F662" t="n">
        <x:f>--AND(A662&gt;='Calculator'!$B$5,B662&gt;='Calculator'!$B$5,C662&gt;='Calculator'!$B$5)</x:f>
        <x:v>1</x:v>
      </x:c>
      <x:c r="G662" t="n">
        <x:f>--AND(A662+'Calculator'!$B$6&gt;=15,B662+'Calculator'!$B$6&gt;=15,C662+'Calculator'!$B$6&gt;=15)</x:f>
        <x:v>0</x:v>
      </x:c>
      <x:c r="H662" t="n">
        <x:f>--AND(F662=1,D662='Calculator'!$B$4)</x:f>
        <x:v>0</x:v>
      </x:c>
      <x:c r="I662" t="n">
        <x:f>--AND(H662=1,G662=1)</x:f>
        <x:v>0</x:v>
      </x:c>
      <x:c r="J662" t="n">
        <x:f>--AND(F662=1,E662='Calculator'!$B$4)</x:f>
        <x:v>0</x:v>
      </x:c>
      <x:c r="K662" t="n">
        <x:f>--AND(J662=1,G662=1)</x:f>
        <x:v>0</x:v>
      </x:c>
      <x:c r="L662" t="str">
        <x:f>A662&amp;"/"&amp;B662&amp;"/"&amp;C662</x:f>
        <x:v>12/12/6</x:v>
      </x:c>
      <x:c r="M662" t="str">
        <x:f>MIN(15,A662+'Calculator'!$B$6)&amp;"/"&amp;MIN(15,B662+'Calculator'!$B$6)&amp;"/"&amp;MIN(15,C662+'Calculator'!$B$6)</x:f>
        <x:v>14/14/8</x:v>
      </x:c>
    </x:row>
    <x:row r="663">
      <x:c r="A663" t="n">
        <x:v>12</x:v>
      </x:c>
      <x:c r="B663" t="n">
        <x:v>12</x:v>
      </x:c>
      <x:c r="C663" t="n">
        <x:v>7</x:v>
      </x:c>
      <x:c r="D663" t="n">
        <x:f>MAX(10,ROUNDDOWN((('Calculator'!$B$10+A663)*SQRT('Calculator'!$B$11+B663)*SQRT('Calculator'!$B$12+C663)*0.59740001^2)/10,0))</x:f>
        <x:v>2305</x:v>
      </x:c>
      <x:c r="E663" t="n">
        <x:f>MAX(10,ROUNDDOWN((('Calculator'!$B$10+A663)*SQRT('Calculator'!$B$11+B663)*SQRT('Calculator'!$B$12+C663)*0.667934^2)/10,0))</x:f>
        <x:v>2882</x:v>
      </x:c>
      <x:c r="F663" t="n">
        <x:f>--AND(A663&gt;='Calculator'!$B$5,B663&gt;='Calculator'!$B$5,C663&gt;='Calculator'!$B$5)</x:f>
        <x:v>1</x:v>
      </x:c>
      <x:c r="G663" t="n">
        <x:f>--AND(A663+'Calculator'!$B$6&gt;=15,B663+'Calculator'!$B$6&gt;=15,C663+'Calculator'!$B$6&gt;=15)</x:f>
        <x:v>0</x:v>
      </x:c>
      <x:c r="H663" t="n">
        <x:f>--AND(F663=1,D663='Calculator'!$B$4)</x:f>
        <x:v>0</x:v>
      </x:c>
      <x:c r="I663" t="n">
        <x:f>--AND(H663=1,G663=1)</x:f>
        <x:v>0</x:v>
      </x:c>
      <x:c r="J663" t="n">
        <x:f>--AND(F663=1,E663='Calculator'!$B$4)</x:f>
        <x:v>0</x:v>
      </x:c>
      <x:c r="K663" t="n">
        <x:f>--AND(J663=1,G663=1)</x:f>
        <x:v>0</x:v>
      </x:c>
      <x:c r="L663" t="str">
        <x:f>A663&amp;"/"&amp;B663&amp;"/"&amp;C663</x:f>
        <x:v>12/12/7</x:v>
      </x:c>
      <x:c r="M663" t="str">
        <x:f>MIN(15,A663+'Calculator'!$B$6)&amp;"/"&amp;MIN(15,B663+'Calculator'!$B$6)&amp;"/"&amp;MIN(15,C663+'Calculator'!$B$6)</x:f>
        <x:v>14/14/9</x:v>
      </x:c>
    </x:row>
    <x:row r="664">
      <x:c r="A664" t="n">
        <x:v>12</x:v>
      </x:c>
      <x:c r="B664" t="n">
        <x:v>12</x:v>
      </x:c>
      <x:c r="C664" t="n">
        <x:v>8</x:v>
      </x:c>
      <x:c r="D664" t="n">
        <x:f>MAX(10,ROUNDDOWN((('Calculator'!$B$10+A664)*SQRT('Calculator'!$B$11+B664)*SQRT('Calculator'!$B$12+C664)*0.59740001^2)/10,0))</x:f>
        <x:v>2310</x:v>
      </x:c>
      <x:c r="E664" t="n">
        <x:f>MAX(10,ROUNDDOWN((('Calculator'!$B$10+A664)*SQRT('Calculator'!$B$11+B664)*SQRT('Calculator'!$B$12+C664)*0.667934^2)/10,0))</x:f>
        <x:v>2888</x:v>
      </x:c>
      <x:c r="F664" t="n">
        <x:f>--AND(A664&gt;='Calculator'!$B$5,B664&gt;='Calculator'!$B$5,C664&gt;='Calculator'!$B$5)</x:f>
        <x:v>1</x:v>
      </x:c>
      <x:c r="G664" t="n">
        <x:f>--AND(A664+'Calculator'!$B$6&gt;=15,B664+'Calculator'!$B$6&gt;=15,C664+'Calculator'!$B$6&gt;=15)</x:f>
        <x:v>0</x:v>
      </x:c>
      <x:c r="H664" t="n">
        <x:f>--AND(F664=1,D664='Calculator'!$B$4)</x:f>
        <x:v>0</x:v>
      </x:c>
      <x:c r="I664" t="n">
        <x:f>--AND(H664=1,G664=1)</x:f>
        <x:v>0</x:v>
      </x:c>
      <x:c r="J664" t="n">
        <x:f>--AND(F664=1,E664='Calculator'!$B$4)</x:f>
        <x:v>0</x:v>
      </x:c>
      <x:c r="K664" t="n">
        <x:f>--AND(J664=1,G664=1)</x:f>
        <x:v>0</x:v>
      </x:c>
      <x:c r="L664" t="str">
        <x:f>A664&amp;"/"&amp;B664&amp;"/"&amp;C664</x:f>
        <x:v>12/12/8</x:v>
      </x:c>
      <x:c r="M664" t="str">
        <x:f>MIN(15,A664+'Calculator'!$B$6)&amp;"/"&amp;MIN(15,B664+'Calculator'!$B$6)&amp;"/"&amp;MIN(15,C664+'Calculator'!$B$6)</x:f>
        <x:v>14/14/10</x:v>
      </x:c>
    </x:row>
    <x:row r="665">
      <x:c r="A665" t="n">
        <x:v>12</x:v>
      </x:c>
      <x:c r="B665" t="n">
        <x:v>12</x:v>
      </x:c>
      <x:c r="C665" t="n">
        <x:v>9</x:v>
      </x:c>
      <x:c r="D665" t="n">
        <x:f>MAX(10,ROUNDDOWN((('Calculator'!$B$10+A665)*SQRT('Calculator'!$B$11+B665)*SQRT('Calculator'!$B$12+C665)*0.59740001^2)/10,0))</x:f>
        <x:v>2315</x:v>
      </x:c>
      <x:c r="E665" t="n">
        <x:f>MAX(10,ROUNDDOWN((('Calculator'!$B$10+A665)*SQRT('Calculator'!$B$11+B665)*SQRT('Calculator'!$B$12+C665)*0.667934^2)/10,0))</x:f>
        <x:v>2895</x:v>
      </x:c>
      <x:c r="F665" t="n">
        <x:f>--AND(A665&gt;='Calculator'!$B$5,B665&gt;='Calculator'!$B$5,C665&gt;='Calculator'!$B$5)</x:f>
        <x:v>1</x:v>
      </x:c>
      <x:c r="G665" t="n">
        <x:f>--AND(A665+'Calculator'!$B$6&gt;=15,B665+'Calculator'!$B$6&gt;=15,C665+'Calculator'!$B$6&gt;=15)</x:f>
        <x:v>0</x:v>
      </x:c>
      <x:c r="H665" t="n">
        <x:f>--AND(F665=1,D665='Calculator'!$B$4)</x:f>
        <x:v>0</x:v>
      </x:c>
      <x:c r="I665" t="n">
        <x:f>--AND(H665=1,G665=1)</x:f>
        <x:v>0</x:v>
      </x:c>
      <x:c r="J665" t="n">
        <x:f>--AND(F665=1,E665='Calculator'!$B$4)</x:f>
        <x:v>0</x:v>
      </x:c>
      <x:c r="K665" t="n">
        <x:f>--AND(J665=1,G665=1)</x:f>
        <x:v>0</x:v>
      </x:c>
      <x:c r="L665" t="str">
        <x:f>A665&amp;"/"&amp;B665&amp;"/"&amp;C665</x:f>
        <x:v>12/12/9</x:v>
      </x:c>
      <x:c r="M665" t="str">
        <x:f>MIN(15,A665+'Calculator'!$B$6)&amp;"/"&amp;MIN(15,B665+'Calculator'!$B$6)&amp;"/"&amp;MIN(15,C665+'Calculator'!$B$6)</x:f>
        <x:v>14/14/11</x:v>
      </x:c>
    </x:row>
    <x:row r="666">
      <x:c r="A666" t="n">
        <x:v>12</x:v>
      </x:c>
      <x:c r="B666" t="n">
        <x:v>12</x:v>
      </x:c>
      <x:c r="C666" t="n">
        <x:v>10</x:v>
      </x:c>
      <x:c r="D666" t="n">
        <x:f>MAX(10,ROUNDDOWN((('Calculator'!$B$10+A666)*SQRT('Calculator'!$B$11+B666)*SQRT('Calculator'!$B$12+C666)*0.59740001^2)/10,0))</x:f>
        <x:v>2321</x:v>
      </x:c>
      <x:c r="E666" t="n">
        <x:f>MAX(10,ROUNDDOWN((('Calculator'!$B$10+A666)*SQRT('Calculator'!$B$11+B666)*SQRT('Calculator'!$B$12+C666)*0.667934^2)/10,0))</x:f>
        <x:v>2901</x:v>
      </x:c>
      <x:c r="F666" t="n">
        <x:f>--AND(A666&gt;='Calculator'!$B$5,B666&gt;='Calculator'!$B$5,C666&gt;='Calculator'!$B$5)</x:f>
        <x:v>1</x:v>
      </x:c>
      <x:c r="G666" t="n">
        <x:f>--AND(A666+'Calculator'!$B$6&gt;=15,B666+'Calculator'!$B$6&gt;=15,C666+'Calculator'!$B$6&gt;=15)</x:f>
        <x:v>0</x:v>
      </x:c>
      <x:c r="H666" t="n">
        <x:f>--AND(F666=1,D666='Calculator'!$B$4)</x:f>
        <x:v>0</x:v>
      </x:c>
      <x:c r="I666" t="n">
        <x:f>--AND(H666=1,G666=1)</x:f>
        <x:v>0</x:v>
      </x:c>
      <x:c r="J666" t="n">
        <x:f>--AND(F666=1,E666='Calculator'!$B$4)</x:f>
        <x:v>0</x:v>
      </x:c>
      <x:c r="K666" t="n">
        <x:f>--AND(J666=1,G666=1)</x:f>
        <x:v>0</x:v>
      </x:c>
      <x:c r="L666" t="str">
        <x:f>A666&amp;"/"&amp;B666&amp;"/"&amp;C666</x:f>
        <x:v>12/12/10</x:v>
      </x:c>
      <x:c r="M666" t="str">
        <x:f>MIN(15,A666+'Calculator'!$B$6)&amp;"/"&amp;MIN(15,B666+'Calculator'!$B$6)&amp;"/"&amp;MIN(15,C666+'Calculator'!$B$6)</x:f>
        <x:v>14/14/12</x:v>
      </x:c>
    </x:row>
    <x:row r="667">
      <x:c r="A667" t="n">
        <x:v>12</x:v>
      </x:c>
      <x:c r="B667" t="n">
        <x:v>12</x:v>
      </x:c>
      <x:c r="C667" t="n">
        <x:v>11</x:v>
      </x:c>
      <x:c r="D667" t="n">
        <x:f>MAX(10,ROUNDDOWN((('Calculator'!$B$10+A667)*SQRT('Calculator'!$B$11+B667)*SQRT('Calculator'!$B$12+C667)*0.59740001^2)/10,0))</x:f>
        <x:v>2326</x:v>
      </x:c>
      <x:c r="E667" t="n">
        <x:f>MAX(10,ROUNDDOWN((('Calculator'!$B$10+A667)*SQRT('Calculator'!$B$11+B667)*SQRT('Calculator'!$B$12+C667)*0.667934^2)/10,0))</x:f>
        <x:v>2908</x:v>
      </x:c>
      <x:c r="F667" t="n">
        <x:f>--AND(A667&gt;='Calculator'!$B$5,B667&gt;='Calculator'!$B$5,C667&gt;='Calculator'!$B$5)</x:f>
        <x:v>1</x:v>
      </x:c>
      <x:c r="G667" t="n">
        <x:f>--AND(A667+'Calculator'!$B$6&gt;=15,B667+'Calculator'!$B$6&gt;=15,C667+'Calculator'!$B$6&gt;=15)</x:f>
        <x:v>0</x:v>
      </x:c>
      <x:c r="H667" t="n">
        <x:f>--AND(F667=1,D667='Calculator'!$B$4)</x:f>
        <x:v>0</x:v>
      </x:c>
      <x:c r="I667" t="n">
        <x:f>--AND(H667=1,G667=1)</x:f>
        <x:v>0</x:v>
      </x:c>
      <x:c r="J667" t="n">
        <x:f>--AND(F667=1,E667='Calculator'!$B$4)</x:f>
        <x:v>0</x:v>
      </x:c>
      <x:c r="K667" t="n">
        <x:f>--AND(J667=1,G667=1)</x:f>
        <x:v>0</x:v>
      </x:c>
      <x:c r="L667" t="str">
        <x:f>A667&amp;"/"&amp;B667&amp;"/"&amp;C667</x:f>
        <x:v>12/12/11</x:v>
      </x:c>
      <x:c r="M667" t="str">
        <x:f>MIN(15,A667+'Calculator'!$B$6)&amp;"/"&amp;MIN(15,B667+'Calculator'!$B$6)&amp;"/"&amp;MIN(15,C667+'Calculator'!$B$6)</x:f>
        <x:v>14/14/13</x:v>
      </x:c>
    </x:row>
    <x:row r="668">
      <x:c r="A668" t="n">
        <x:v>12</x:v>
      </x:c>
      <x:c r="B668" t="n">
        <x:v>12</x:v>
      </x:c>
      <x:c r="C668" t="n">
        <x:v>12</x:v>
      </x:c>
      <x:c r="D668" t="n">
        <x:f>MAX(10,ROUNDDOWN((('Calculator'!$B$10+A668)*SQRT('Calculator'!$B$11+B668)*SQRT('Calculator'!$B$12+C668)*0.59740001^2)/10,0))</x:f>
        <x:v>2331</x:v>
      </x:c>
      <x:c r="E668" t="n">
        <x:f>MAX(10,ROUNDDOWN((('Calculator'!$B$10+A668)*SQRT('Calculator'!$B$11+B668)*SQRT('Calculator'!$B$12+C668)*0.667934^2)/10,0))</x:f>
        <x:v>2914</x:v>
      </x:c>
      <x:c r="F668" t="n">
        <x:f>--AND(A668&gt;='Calculator'!$B$5,B668&gt;='Calculator'!$B$5,C668&gt;='Calculator'!$B$5)</x:f>
        <x:v>1</x:v>
      </x:c>
      <x:c r="G668" t="n">
        <x:f>--AND(A668+'Calculator'!$B$6&gt;=15,B668+'Calculator'!$B$6&gt;=15,C668+'Calculator'!$B$6&gt;=15)</x:f>
        <x:v>0</x:v>
      </x:c>
      <x:c r="H668" t="n">
        <x:f>--AND(F668=1,D668='Calculator'!$B$4)</x:f>
        <x:v>0</x:v>
      </x:c>
      <x:c r="I668" t="n">
        <x:f>--AND(H668=1,G668=1)</x:f>
        <x:v>0</x:v>
      </x:c>
      <x:c r="J668" t="n">
        <x:f>--AND(F668=1,E668='Calculator'!$B$4)</x:f>
        <x:v>0</x:v>
      </x:c>
      <x:c r="K668" t="n">
        <x:f>--AND(J668=1,G668=1)</x:f>
        <x:v>0</x:v>
      </x:c>
      <x:c r="L668" t="str">
        <x:f>A668&amp;"/"&amp;B668&amp;"/"&amp;C668</x:f>
        <x:v>12/12/12</x:v>
      </x:c>
      <x:c r="M668" t="str">
        <x:f>MIN(15,A668+'Calculator'!$B$6)&amp;"/"&amp;MIN(15,B668+'Calculator'!$B$6)&amp;"/"&amp;MIN(15,C668+'Calculator'!$B$6)</x:f>
        <x:v>14/14/14</x:v>
      </x:c>
    </x:row>
    <x:row r="669">
      <x:c r="A669" t="n">
        <x:v>12</x:v>
      </x:c>
      <x:c r="B669" t="n">
        <x:v>12</x:v>
      </x:c>
      <x:c r="C669" t="n">
        <x:v>13</x:v>
      </x:c>
      <x:c r="D669" t="n">
        <x:f>MAX(10,ROUNDDOWN((('Calculator'!$B$10+A669)*SQRT('Calculator'!$B$11+B669)*SQRT('Calculator'!$B$12+C669)*0.59740001^2)/10,0))</x:f>
        <x:v>2336</x:v>
      </x:c>
      <x:c r="E669" t="n">
        <x:f>MAX(10,ROUNDDOWN((('Calculator'!$B$10+A669)*SQRT('Calculator'!$B$11+B669)*SQRT('Calculator'!$B$12+C669)*0.667934^2)/10,0))</x:f>
        <x:v>2921</x:v>
      </x:c>
      <x:c r="F669" t="n">
        <x:f>--AND(A669&gt;='Calculator'!$B$5,B669&gt;='Calculator'!$B$5,C669&gt;='Calculator'!$B$5)</x:f>
        <x:v>1</x:v>
      </x:c>
      <x:c r="G669" t="n">
        <x:f>--AND(A669+'Calculator'!$B$6&gt;=15,B669+'Calculator'!$B$6&gt;=15,C669+'Calculator'!$B$6&gt;=15)</x:f>
        <x:v>0</x:v>
      </x:c>
      <x:c r="H669" t="n">
        <x:f>--AND(F669=1,D669='Calculator'!$B$4)</x:f>
        <x:v>0</x:v>
      </x:c>
      <x:c r="I669" t="n">
        <x:f>--AND(H669=1,G669=1)</x:f>
        <x:v>0</x:v>
      </x:c>
      <x:c r="J669" t="n">
        <x:f>--AND(F669=1,E669='Calculator'!$B$4)</x:f>
        <x:v>0</x:v>
      </x:c>
      <x:c r="K669" t="n">
        <x:f>--AND(J669=1,G669=1)</x:f>
        <x:v>0</x:v>
      </x:c>
      <x:c r="L669" t="str">
        <x:f>A669&amp;"/"&amp;B669&amp;"/"&amp;C669</x:f>
        <x:v>12/12/13</x:v>
      </x:c>
      <x:c r="M669" t="str">
        <x:f>MIN(15,A669+'Calculator'!$B$6)&amp;"/"&amp;MIN(15,B669+'Calculator'!$B$6)&amp;"/"&amp;MIN(15,C669+'Calculator'!$B$6)</x:f>
        <x:v>14/14/15</x:v>
      </x:c>
    </x:row>
    <x:row r="670">
      <x:c r="A670" t="n">
        <x:v>12</x:v>
      </x:c>
      <x:c r="B670" t="n">
        <x:v>12</x:v>
      </x:c>
      <x:c r="C670" t="n">
        <x:v>14</x:v>
      </x:c>
      <x:c r="D670" t="n">
        <x:f>MAX(10,ROUNDDOWN((('Calculator'!$B$10+A670)*SQRT('Calculator'!$B$11+B670)*SQRT('Calculator'!$B$12+C670)*0.59740001^2)/10,0))</x:f>
        <x:v>2341</x:v>
      </x:c>
      <x:c r="E670" t="n">
        <x:f>MAX(10,ROUNDDOWN((('Calculator'!$B$10+A670)*SQRT('Calculator'!$B$11+B670)*SQRT('Calculator'!$B$12+C670)*0.667934^2)/10,0))</x:f>
        <x:v>2927</x:v>
      </x:c>
      <x:c r="F670" t="n">
        <x:f>--AND(A670&gt;='Calculator'!$B$5,B670&gt;='Calculator'!$B$5,C670&gt;='Calculator'!$B$5)</x:f>
        <x:v>1</x:v>
      </x:c>
      <x:c r="G670" t="n">
        <x:f>--AND(A670+'Calculator'!$B$6&gt;=15,B670+'Calculator'!$B$6&gt;=15,C670+'Calculator'!$B$6&gt;=15)</x:f>
        <x:v>0</x:v>
      </x:c>
      <x:c r="H670" t="n">
        <x:f>--AND(F670=1,D670='Calculator'!$B$4)</x:f>
        <x:v>0</x:v>
      </x:c>
      <x:c r="I670" t="n">
        <x:f>--AND(H670=1,G670=1)</x:f>
        <x:v>0</x:v>
      </x:c>
      <x:c r="J670" t="n">
        <x:f>--AND(F670=1,E670='Calculator'!$B$4)</x:f>
        <x:v>0</x:v>
      </x:c>
      <x:c r="K670" t="n">
        <x:f>--AND(J670=1,G670=1)</x:f>
        <x:v>0</x:v>
      </x:c>
      <x:c r="L670" t="str">
        <x:f>A670&amp;"/"&amp;B670&amp;"/"&amp;C670</x:f>
        <x:v>12/12/14</x:v>
      </x:c>
      <x:c r="M670" t="str">
        <x:f>MIN(15,A670+'Calculator'!$B$6)&amp;"/"&amp;MIN(15,B670+'Calculator'!$B$6)&amp;"/"&amp;MIN(15,C670+'Calculator'!$B$6)</x:f>
        <x:v>14/14/15</x:v>
      </x:c>
    </x:row>
    <x:row r="671">
      <x:c r="A671" t="n">
        <x:v>12</x:v>
      </x:c>
      <x:c r="B671" t="n">
        <x:v>12</x:v>
      </x:c>
      <x:c r="C671" t="n">
        <x:v>15</x:v>
      </x:c>
      <x:c r="D671" t="n">
        <x:f>MAX(10,ROUNDDOWN((('Calculator'!$B$10+A671)*SQRT('Calculator'!$B$11+B671)*SQRT('Calculator'!$B$12+C671)*0.59740001^2)/10,0))</x:f>
        <x:v>2346</x:v>
      </x:c>
      <x:c r="E671" t="n">
        <x:f>MAX(10,ROUNDDOWN((('Calculator'!$B$10+A671)*SQRT('Calculator'!$B$11+B671)*SQRT('Calculator'!$B$12+C671)*0.667934^2)/10,0))</x:f>
        <x:v>2933</x:v>
      </x:c>
      <x:c r="F671" t="n">
        <x:f>--AND(A671&gt;='Calculator'!$B$5,B671&gt;='Calculator'!$B$5,C671&gt;='Calculator'!$B$5)</x:f>
        <x:v>1</x:v>
      </x:c>
      <x:c r="G671" t="n">
        <x:f>--AND(A671+'Calculator'!$B$6&gt;=15,B671+'Calculator'!$B$6&gt;=15,C671+'Calculator'!$B$6&gt;=15)</x:f>
        <x:v>0</x:v>
      </x:c>
      <x:c r="H671" t="n">
        <x:f>--AND(F671=1,D671='Calculator'!$B$4)</x:f>
        <x:v>0</x:v>
      </x:c>
      <x:c r="I671" t="n">
        <x:f>--AND(H671=1,G671=1)</x:f>
        <x:v>0</x:v>
      </x:c>
      <x:c r="J671" t="n">
        <x:f>--AND(F671=1,E671='Calculator'!$B$4)</x:f>
        <x:v>0</x:v>
      </x:c>
      <x:c r="K671" t="n">
        <x:f>--AND(J671=1,G671=1)</x:f>
        <x:v>0</x:v>
      </x:c>
      <x:c r="L671" t="str">
        <x:f>A671&amp;"/"&amp;B671&amp;"/"&amp;C671</x:f>
        <x:v>12/12/15</x:v>
      </x:c>
      <x:c r="M671" t="str">
        <x:f>MIN(15,A671+'Calculator'!$B$6)&amp;"/"&amp;MIN(15,B671+'Calculator'!$B$6)&amp;"/"&amp;MIN(15,C671+'Calculator'!$B$6)</x:f>
        <x:v>14/14/15</x:v>
      </x:c>
    </x:row>
    <x:row r="672">
      <x:c r="A672" t="n">
        <x:v>12</x:v>
      </x:c>
      <x:c r="B672" t="n">
        <x:v>13</x:v>
      </x:c>
      <x:c r="C672" t="n">
        <x:v>6</x:v>
      </x:c>
      <x:c r="D672" t="n">
        <x:f>MAX(10,ROUNDDOWN((('Calculator'!$B$10+A672)*SQRT('Calculator'!$B$11+B672)*SQRT('Calculator'!$B$12+C672)*0.59740001^2)/10,0))</x:f>
        <x:v>2306</x:v>
      </x:c>
      <x:c r="E672" t="n">
        <x:f>MAX(10,ROUNDDOWN((('Calculator'!$B$10+A672)*SQRT('Calculator'!$B$11+B672)*SQRT('Calculator'!$B$12+C672)*0.667934^2)/10,0))</x:f>
        <x:v>2883</x:v>
      </x:c>
      <x:c r="F672" t="n">
        <x:f>--AND(A672&gt;='Calculator'!$B$5,B672&gt;='Calculator'!$B$5,C672&gt;='Calculator'!$B$5)</x:f>
        <x:v>1</x:v>
      </x:c>
      <x:c r="G672" t="n">
        <x:f>--AND(A672+'Calculator'!$B$6&gt;=15,B672+'Calculator'!$B$6&gt;=15,C672+'Calculator'!$B$6&gt;=15)</x:f>
        <x:v>0</x:v>
      </x:c>
      <x:c r="H672" t="n">
        <x:f>--AND(F672=1,D672='Calculator'!$B$4)</x:f>
        <x:v>0</x:v>
      </x:c>
      <x:c r="I672" t="n">
        <x:f>--AND(H672=1,G672=1)</x:f>
        <x:v>0</x:v>
      </x:c>
      <x:c r="J672" t="n">
        <x:f>--AND(F672=1,E672='Calculator'!$B$4)</x:f>
        <x:v>0</x:v>
      </x:c>
      <x:c r="K672" t="n">
        <x:f>--AND(J672=1,G672=1)</x:f>
        <x:v>0</x:v>
      </x:c>
      <x:c r="L672" t="str">
        <x:f>A672&amp;"/"&amp;B672&amp;"/"&amp;C672</x:f>
        <x:v>12/13/6</x:v>
      </x:c>
      <x:c r="M672" t="str">
        <x:f>MIN(15,A672+'Calculator'!$B$6)&amp;"/"&amp;MIN(15,B672+'Calculator'!$B$6)&amp;"/"&amp;MIN(15,C672+'Calculator'!$B$6)</x:f>
        <x:v>14/15/8</x:v>
      </x:c>
    </x:row>
    <x:row r="673">
      <x:c r="A673" t="n">
        <x:v>12</x:v>
      </x:c>
      <x:c r="B673" t="n">
        <x:v>13</x:v>
      </x:c>
      <x:c r="C673" t="n">
        <x:v>7</x:v>
      </x:c>
      <x:c r="D673" t="n">
        <x:f>MAX(10,ROUNDDOWN((('Calculator'!$B$10+A673)*SQRT('Calculator'!$B$11+B673)*SQRT('Calculator'!$B$12+C673)*0.59740001^2)/10,0))</x:f>
        <x:v>2311</x:v>
      </x:c>
      <x:c r="E673" t="n">
        <x:f>MAX(10,ROUNDDOWN((('Calculator'!$B$10+A673)*SQRT('Calculator'!$B$11+B673)*SQRT('Calculator'!$B$12+C673)*0.667934^2)/10,0))</x:f>
        <x:v>2889</x:v>
      </x:c>
      <x:c r="F673" t="n">
        <x:f>--AND(A673&gt;='Calculator'!$B$5,B673&gt;='Calculator'!$B$5,C673&gt;='Calculator'!$B$5)</x:f>
        <x:v>1</x:v>
      </x:c>
      <x:c r="G673" t="n">
        <x:f>--AND(A673+'Calculator'!$B$6&gt;=15,B673+'Calculator'!$B$6&gt;=15,C673+'Calculator'!$B$6&gt;=15)</x:f>
        <x:v>0</x:v>
      </x:c>
      <x:c r="H673" t="n">
        <x:f>--AND(F673=1,D673='Calculator'!$B$4)</x:f>
        <x:v>0</x:v>
      </x:c>
      <x:c r="I673" t="n">
        <x:f>--AND(H673=1,G673=1)</x:f>
        <x:v>0</x:v>
      </x:c>
      <x:c r="J673" t="n">
        <x:f>--AND(F673=1,E673='Calculator'!$B$4)</x:f>
        <x:v>0</x:v>
      </x:c>
      <x:c r="K673" t="n">
        <x:f>--AND(J673=1,G673=1)</x:f>
        <x:v>0</x:v>
      </x:c>
      <x:c r="L673" t="str">
        <x:f>A673&amp;"/"&amp;B673&amp;"/"&amp;C673</x:f>
        <x:v>12/13/7</x:v>
      </x:c>
      <x:c r="M673" t="str">
        <x:f>MIN(15,A673+'Calculator'!$B$6)&amp;"/"&amp;MIN(15,B673+'Calculator'!$B$6)&amp;"/"&amp;MIN(15,C673+'Calculator'!$B$6)</x:f>
        <x:v>14/15/9</x:v>
      </x:c>
    </x:row>
    <x:row r="674">
      <x:c r="A674" t="n">
        <x:v>12</x:v>
      </x:c>
      <x:c r="B674" t="n">
        <x:v>13</x:v>
      </x:c>
      <x:c r="C674" t="n">
        <x:v>8</x:v>
      </x:c>
      <x:c r="D674" t="n">
        <x:f>MAX(10,ROUNDDOWN((('Calculator'!$B$10+A674)*SQRT('Calculator'!$B$11+B674)*SQRT('Calculator'!$B$12+C674)*0.59740001^2)/10,0))</x:f>
        <x:v>2316</x:v>
      </x:c>
      <x:c r="E674" t="n">
        <x:f>MAX(10,ROUNDDOWN((('Calculator'!$B$10+A674)*SQRT('Calculator'!$B$11+B674)*SQRT('Calculator'!$B$12+C674)*0.667934^2)/10,0))</x:f>
        <x:v>2896</x:v>
      </x:c>
      <x:c r="F674" t="n">
        <x:f>--AND(A674&gt;='Calculator'!$B$5,B674&gt;='Calculator'!$B$5,C674&gt;='Calculator'!$B$5)</x:f>
        <x:v>1</x:v>
      </x:c>
      <x:c r="G674" t="n">
        <x:f>--AND(A674+'Calculator'!$B$6&gt;=15,B674+'Calculator'!$B$6&gt;=15,C674+'Calculator'!$B$6&gt;=15)</x:f>
        <x:v>0</x:v>
      </x:c>
      <x:c r="H674" t="n">
        <x:f>--AND(F674=1,D674='Calculator'!$B$4)</x:f>
        <x:v>0</x:v>
      </x:c>
      <x:c r="I674" t="n">
        <x:f>--AND(H674=1,G674=1)</x:f>
        <x:v>0</x:v>
      </x:c>
      <x:c r="J674" t="n">
        <x:f>--AND(F674=1,E674='Calculator'!$B$4)</x:f>
        <x:v>0</x:v>
      </x:c>
      <x:c r="K674" t="n">
        <x:f>--AND(J674=1,G674=1)</x:f>
        <x:v>0</x:v>
      </x:c>
      <x:c r="L674" t="str">
        <x:f>A674&amp;"/"&amp;B674&amp;"/"&amp;C674</x:f>
        <x:v>12/13/8</x:v>
      </x:c>
      <x:c r="M674" t="str">
        <x:f>MIN(15,A674+'Calculator'!$B$6)&amp;"/"&amp;MIN(15,B674+'Calculator'!$B$6)&amp;"/"&amp;MIN(15,C674+'Calculator'!$B$6)</x:f>
        <x:v>14/15/10</x:v>
      </x:c>
    </x:row>
    <x:row r="675">
      <x:c r="A675" t="n">
        <x:v>12</x:v>
      </x:c>
      <x:c r="B675" t="n">
        <x:v>13</x:v>
      </x:c>
      <x:c r="C675" t="n">
        <x:v>9</x:v>
      </x:c>
      <x:c r="D675" t="n">
        <x:f>MAX(10,ROUNDDOWN((('Calculator'!$B$10+A675)*SQRT('Calculator'!$B$11+B675)*SQRT('Calculator'!$B$12+C675)*0.59740001^2)/10,0))</x:f>
        <x:v>2321</x:v>
      </x:c>
      <x:c r="E675" t="n">
        <x:f>MAX(10,ROUNDDOWN((('Calculator'!$B$10+A675)*SQRT('Calculator'!$B$11+B675)*SQRT('Calculator'!$B$12+C675)*0.667934^2)/10,0))</x:f>
        <x:v>2902</x:v>
      </x:c>
      <x:c r="F675" t="n">
        <x:f>--AND(A675&gt;='Calculator'!$B$5,B675&gt;='Calculator'!$B$5,C675&gt;='Calculator'!$B$5)</x:f>
        <x:v>1</x:v>
      </x:c>
      <x:c r="G675" t="n">
        <x:f>--AND(A675+'Calculator'!$B$6&gt;=15,B675+'Calculator'!$B$6&gt;=15,C675+'Calculator'!$B$6&gt;=15)</x:f>
        <x:v>0</x:v>
      </x:c>
      <x:c r="H675" t="n">
        <x:f>--AND(F675=1,D675='Calculator'!$B$4)</x:f>
        <x:v>0</x:v>
      </x:c>
      <x:c r="I675" t="n">
        <x:f>--AND(H675=1,G675=1)</x:f>
        <x:v>0</x:v>
      </x:c>
      <x:c r="J675" t="n">
        <x:f>--AND(F675=1,E675='Calculator'!$B$4)</x:f>
        <x:v>0</x:v>
      </x:c>
      <x:c r="K675" t="n">
        <x:f>--AND(J675=1,G675=1)</x:f>
        <x:v>0</x:v>
      </x:c>
      <x:c r="L675" t="str">
        <x:f>A675&amp;"/"&amp;B675&amp;"/"&amp;C675</x:f>
        <x:v>12/13/9</x:v>
      </x:c>
      <x:c r="M675" t="str">
        <x:f>MIN(15,A675+'Calculator'!$B$6)&amp;"/"&amp;MIN(15,B675+'Calculator'!$B$6)&amp;"/"&amp;MIN(15,C675+'Calculator'!$B$6)</x:f>
        <x:v>14/15/11</x:v>
      </x:c>
    </x:row>
    <x:row r="676">
      <x:c r="A676" t="n">
        <x:v>12</x:v>
      </x:c>
      <x:c r="B676" t="n">
        <x:v>13</x:v>
      </x:c>
      <x:c r="C676" t="n">
        <x:v>10</x:v>
      </x:c>
      <x:c r="D676" t="n">
        <x:f>MAX(10,ROUNDDOWN((('Calculator'!$B$10+A676)*SQRT('Calculator'!$B$11+B676)*SQRT('Calculator'!$B$12+C676)*0.59740001^2)/10,0))</x:f>
        <x:v>2327</x:v>
      </x:c>
      <x:c r="E676" t="n">
        <x:f>MAX(10,ROUNDDOWN((('Calculator'!$B$10+A676)*SQRT('Calculator'!$B$11+B676)*SQRT('Calculator'!$B$12+C676)*0.667934^2)/10,0))</x:f>
        <x:v>2909</x:v>
      </x:c>
      <x:c r="F676" t="n">
        <x:f>--AND(A676&gt;='Calculator'!$B$5,B676&gt;='Calculator'!$B$5,C676&gt;='Calculator'!$B$5)</x:f>
        <x:v>1</x:v>
      </x:c>
      <x:c r="G676" t="n">
        <x:f>--AND(A676+'Calculator'!$B$6&gt;=15,B676+'Calculator'!$B$6&gt;=15,C676+'Calculator'!$B$6&gt;=15)</x:f>
        <x:v>0</x:v>
      </x:c>
      <x:c r="H676" t="n">
        <x:f>--AND(F676=1,D676='Calculator'!$B$4)</x:f>
        <x:v>0</x:v>
      </x:c>
      <x:c r="I676" t="n">
        <x:f>--AND(H676=1,G676=1)</x:f>
        <x:v>0</x:v>
      </x:c>
      <x:c r="J676" t="n">
        <x:f>--AND(F676=1,E676='Calculator'!$B$4)</x:f>
        <x:v>0</x:v>
      </x:c>
      <x:c r="K676" t="n">
        <x:f>--AND(J676=1,G676=1)</x:f>
        <x:v>0</x:v>
      </x:c>
      <x:c r="L676" t="str">
        <x:f>A676&amp;"/"&amp;B676&amp;"/"&amp;C676</x:f>
        <x:v>12/13/10</x:v>
      </x:c>
      <x:c r="M676" t="str">
        <x:f>MIN(15,A676+'Calculator'!$B$6)&amp;"/"&amp;MIN(15,B676+'Calculator'!$B$6)&amp;"/"&amp;MIN(15,C676+'Calculator'!$B$6)</x:f>
        <x:v>14/15/12</x:v>
      </x:c>
    </x:row>
    <x:row r="677">
      <x:c r="A677" t="n">
        <x:v>12</x:v>
      </x:c>
      <x:c r="B677" t="n">
        <x:v>13</x:v>
      </x:c>
      <x:c r="C677" t="n">
        <x:v>11</x:v>
      </x:c>
      <x:c r="D677" t="n">
        <x:f>MAX(10,ROUNDDOWN((('Calculator'!$B$10+A677)*SQRT('Calculator'!$B$11+B677)*SQRT('Calculator'!$B$12+C677)*0.59740001^2)/10,0))</x:f>
        <x:v>2332</x:v>
      </x:c>
      <x:c r="E677" t="n">
        <x:f>MAX(10,ROUNDDOWN((('Calculator'!$B$10+A677)*SQRT('Calculator'!$B$11+B677)*SQRT('Calculator'!$B$12+C677)*0.667934^2)/10,0))</x:f>
        <x:v>2915</x:v>
      </x:c>
      <x:c r="F677" t="n">
        <x:f>--AND(A677&gt;='Calculator'!$B$5,B677&gt;='Calculator'!$B$5,C677&gt;='Calculator'!$B$5)</x:f>
        <x:v>1</x:v>
      </x:c>
      <x:c r="G677" t="n">
        <x:f>--AND(A677+'Calculator'!$B$6&gt;=15,B677+'Calculator'!$B$6&gt;=15,C677+'Calculator'!$B$6&gt;=15)</x:f>
        <x:v>0</x:v>
      </x:c>
      <x:c r="H677" t="n">
        <x:f>--AND(F677=1,D677='Calculator'!$B$4)</x:f>
        <x:v>0</x:v>
      </x:c>
      <x:c r="I677" t="n">
        <x:f>--AND(H677=1,G677=1)</x:f>
        <x:v>0</x:v>
      </x:c>
      <x:c r="J677" t="n">
        <x:f>--AND(F677=1,E677='Calculator'!$B$4)</x:f>
        <x:v>0</x:v>
      </x:c>
      <x:c r="K677" t="n">
        <x:f>--AND(J677=1,G677=1)</x:f>
        <x:v>0</x:v>
      </x:c>
      <x:c r="L677" t="str">
        <x:f>A677&amp;"/"&amp;B677&amp;"/"&amp;C677</x:f>
        <x:v>12/13/11</x:v>
      </x:c>
      <x:c r="M677" t="str">
        <x:f>MIN(15,A677+'Calculator'!$B$6)&amp;"/"&amp;MIN(15,B677+'Calculator'!$B$6)&amp;"/"&amp;MIN(15,C677+'Calculator'!$B$6)</x:f>
        <x:v>14/15/13</x:v>
      </x:c>
    </x:row>
    <x:row r="678">
      <x:c r="A678" t="n">
        <x:v>12</x:v>
      </x:c>
      <x:c r="B678" t="n">
        <x:v>13</x:v>
      </x:c>
      <x:c r="C678" t="n">
        <x:v>12</x:v>
      </x:c>
      <x:c r="D678" t="n">
        <x:f>MAX(10,ROUNDDOWN((('Calculator'!$B$10+A678)*SQRT('Calculator'!$B$11+B678)*SQRT('Calculator'!$B$12+C678)*0.59740001^2)/10,0))</x:f>
        <x:v>2337</x:v>
      </x:c>
      <x:c r="E678" t="n">
        <x:f>MAX(10,ROUNDDOWN((('Calculator'!$B$10+A678)*SQRT('Calculator'!$B$11+B678)*SQRT('Calculator'!$B$12+C678)*0.667934^2)/10,0))</x:f>
        <x:v>2922</x:v>
      </x:c>
      <x:c r="F678" t="n">
        <x:f>--AND(A678&gt;='Calculator'!$B$5,B678&gt;='Calculator'!$B$5,C678&gt;='Calculator'!$B$5)</x:f>
        <x:v>1</x:v>
      </x:c>
      <x:c r="G678" t="n">
        <x:f>--AND(A678+'Calculator'!$B$6&gt;=15,B678+'Calculator'!$B$6&gt;=15,C678+'Calculator'!$B$6&gt;=15)</x:f>
        <x:v>0</x:v>
      </x:c>
      <x:c r="H678" t="n">
        <x:f>--AND(F678=1,D678='Calculator'!$B$4)</x:f>
        <x:v>0</x:v>
      </x:c>
      <x:c r="I678" t="n">
        <x:f>--AND(H678=1,G678=1)</x:f>
        <x:v>0</x:v>
      </x:c>
      <x:c r="J678" t="n">
        <x:f>--AND(F678=1,E678='Calculator'!$B$4)</x:f>
        <x:v>0</x:v>
      </x:c>
      <x:c r="K678" t="n">
        <x:f>--AND(J678=1,G678=1)</x:f>
        <x:v>0</x:v>
      </x:c>
      <x:c r="L678" t="str">
        <x:f>A678&amp;"/"&amp;B678&amp;"/"&amp;C678</x:f>
        <x:v>12/13/12</x:v>
      </x:c>
      <x:c r="M678" t="str">
        <x:f>MIN(15,A678+'Calculator'!$B$6)&amp;"/"&amp;MIN(15,B678+'Calculator'!$B$6)&amp;"/"&amp;MIN(15,C678+'Calculator'!$B$6)</x:f>
        <x:v>14/15/14</x:v>
      </x:c>
    </x:row>
    <x:row r="679">
      <x:c r="A679" t="n">
        <x:v>12</x:v>
      </x:c>
      <x:c r="B679" t="n">
        <x:v>13</x:v>
      </x:c>
      <x:c r="C679" t="n">
        <x:v>13</x:v>
      </x:c>
      <x:c r="D679" t="n">
        <x:f>MAX(10,ROUNDDOWN((('Calculator'!$B$10+A679)*SQRT('Calculator'!$B$11+B679)*SQRT('Calculator'!$B$12+C679)*0.59740001^2)/10,0))</x:f>
        <x:v>2342</x:v>
      </x:c>
      <x:c r="E679" t="n">
        <x:f>MAX(10,ROUNDDOWN((('Calculator'!$B$10+A679)*SQRT('Calculator'!$B$11+B679)*SQRT('Calculator'!$B$12+C679)*0.667934^2)/10,0))</x:f>
        <x:v>2928</x:v>
      </x:c>
      <x:c r="F679" t="n">
        <x:f>--AND(A679&gt;='Calculator'!$B$5,B679&gt;='Calculator'!$B$5,C679&gt;='Calculator'!$B$5)</x:f>
        <x:v>1</x:v>
      </x:c>
      <x:c r="G679" t="n">
        <x:f>--AND(A679+'Calculator'!$B$6&gt;=15,B679+'Calculator'!$B$6&gt;=15,C679+'Calculator'!$B$6&gt;=15)</x:f>
        <x:v>0</x:v>
      </x:c>
      <x:c r="H679" t="n">
        <x:f>--AND(F679=1,D679='Calculator'!$B$4)</x:f>
        <x:v>0</x:v>
      </x:c>
      <x:c r="I679" t="n">
        <x:f>--AND(H679=1,G679=1)</x:f>
        <x:v>0</x:v>
      </x:c>
      <x:c r="J679" t="n">
        <x:f>--AND(F679=1,E679='Calculator'!$B$4)</x:f>
        <x:v>0</x:v>
      </x:c>
      <x:c r="K679" t="n">
        <x:f>--AND(J679=1,G679=1)</x:f>
        <x:v>0</x:v>
      </x:c>
      <x:c r="L679" t="str">
        <x:f>A679&amp;"/"&amp;B679&amp;"/"&amp;C679</x:f>
        <x:v>12/13/13</x:v>
      </x:c>
      <x:c r="M679" t="str">
        <x:f>MIN(15,A679+'Calculator'!$B$6)&amp;"/"&amp;MIN(15,B679+'Calculator'!$B$6)&amp;"/"&amp;MIN(15,C679+'Calculator'!$B$6)</x:f>
        <x:v>14/15/15</x:v>
      </x:c>
    </x:row>
    <x:row r="680">
      <x:c r="A680" t="n">
        <x:v>12</x:v>
      </x:c>
      <x:c r="B680" t="n">
        <x:v>13</x:v>
      </x:c>
      <x:c r="C680" t="n">
        <x:v>14</x:v>
      </x:c>
      <x:c r="D680" t="n">
        <x:f>MAX(10,ROUNDDOWN((('Calculator'!$B$10+A680)*SQRT('Calculator'!$B$11+B680)*SQRT('Calculator'!$B$12+C680)*0.59740001^2)/10,0))</x:f>
        <x:v>2347</x:v>
      </x:c>
      <x:c r="E680" t="n">
        <x:f>MAX(10,ROUNDDOWN((('Calculator'!$B$10+A680)*SQRT('Calculator'!$B$11+B680)*SQRT('Calculator'!$B$12+C680)*0.667934^2)/10,0))</x:f>
        <x:v>2934</x:v>
      </x:c>
      <x:c r="F680" t="n">
        <x:f>--AND(A680&gt;='Calculator'!$B$5,B680&gt;='Calculator'!$B$5,C680&gt;='Calculator'!$B$5)</x:f>
        <x:v>1</x:v>
      </x:c>
      <x:c r="G680" t="n">
        <x:f>--AND(A680+'Calculator'!$B$6&gt;=15,B680+'Calculator'!$B$6&gt;=15,C680+'Calculator'!$B$6&gt;=15)</x:f>
        <x:v>0</x:v>
      </x:c>
      <x:c r="H680" t="n">
        <x:f>--AND(F680=1,D680='Calculator'!$B$4)</x:f>
        <x:v>0</x:v>
      </x:c>
      <x:c r="I680" t="n">
        <x:f>--AND(H680=1,G680=1)</x:f>
        <x:v>0</x:v>
      </x:c>
      <x:c r="J680" t="n">
        <x:f>--AND(F680=1,E680='Calculator'!$B$4)</x:f>
        <x:v>0</x:v>
      </x:c>
      <x:c r="K680" t="n">
        <x:f>--AND(J680=1,G680=1)</x:f>
        <x:v>0</x:v>
      </x:c>
      <x:c r="L680" t="str">
        <x:f>A680&amp;"/"&amp;B680&amp;"/"&amp;C680</x:f>
        <x:v>12/13/14</x:v>
      </x:c>
      <x:c r="M680" t="str">
        <x:f>MIN(15,A680+'Calculator'!$B$6)&amp;"/"&amp;MIN(15,B680+'Calculator'!$B$6)&amp;"/"&amp;MIN(15,C680+'Calculator'!$B$6)</x:f>
        <x:v>14/15/15</x:v>
      </x:c>
    </x:row>
    <x:row r="681">
      <x:c r="A681" t="n">
        <x:v>12</x:v>
      </x:c>
      <x:c r="B681" t="n">
        <x:v>13</x:v>
      </x:c>
      <x:c r="C681" t="n">
        <x:v>15</x:v>
      </x:c>
      <x:c r="D681" t="n">
        <x:f>MAX(10,ROUNDDOWN((('Calculator'!$B$10+A681)*SQRT('Calculator'!$B$11+B681)*SQRT('Calculator'!$B$12+C681)*0.59740001^2)/10,0))</x:f>
        <x:v>2352</x:v>
      </x:c>
      <x:c r="E681" t="n">
        <x:f>MAX(10,ROUNDDOWN((('Calculator'!$B$10+A681)*SQRT('Calculator'!$B$11+B681)*SQRT('Calculator'!$B$12+C681)*0.667934^2)/10,0))</x:f>
        <x:v>2941</x:v>
      </x:c>
      <x:c r="F681" t="n">
        <x:f>--AND(A681&gt;='Calculator'!$B$5,B681&gt;='Calculator'!$B$5,C681&gt;='Calculator'!$B$5)</x:f>
        <x:v>1</x:v>
      </x:c>
      <x:c r="G681" t="n">
        <x:f>--AND(A681+'Calculator'!$B$6&gt;=15,B681+'Calculator'!$B$6&gt;=15,C681+'Calculator'!$B$6&gt;=15)</x:f>
        <x:v>0</x:v>
      </x:c>
      <x:c r="H681" t="n">
        <x:f>--AND(F681=1,D681='Calculator'!$B$4)</x:f>
        <x:v>0</x:v>
      </x:c>
      <x:c r="I681" t="n">
        <x:f>--AND(H681=1,G681=1)</x:f>
        <x:v>0</x:v>
      </x:c>
      <x:c r="J681" t="n">
        <x:f>--AND(F681=1,E681='Calculator'!$B$4)</x:f>
        <x:v>0</x:v>
      </x:c>
      <x:c r="K681" t="n">
        <x:f>--AND(J681=1,G681=1)</x:f>
        <x:v>0</x:v>
      </x:c>
      <x:c r="L681" t="str">
        <x:f>A681&amp;"/"&amp;B681&amp;"/"&amp;C681</x:f>
        <x:v>12/13/15</x:v>
      </x:c>
      <x:c r="M681" t="str">
        <x:f>MIN(15,A681+'Calculator'!$B$6)&amp;"/"&amp;MIN(15,B681+'Calculator'!$B$6)&amp;"/"&amp;MIN(15,C681+'Calculator'!$B$6)</x:f>
        <x:v>14/15/15</x:v>
      </x:c>
    </x:row>
    <x:row r="682">
      <x:c r="A682" t="n">
        <x:v>12</x:v>
      </x:c>
      <x:c r="B682" t="n">
        <x:v>14</x:v>
      </x:c>
      <x:c r="C682" t="n">
        <x:v>6</x:v>
      </x:c>
      <x:c r="D682" t="n">
        <x:f>MAX(10,ROUNDDOWN((('Calculator'!$B$10+A682)*SQRT('Calculator'!$B$11+B682)*SQRT('Calculator'!$B$12+C682)*0.59740001^2)/10,0))</x:f>
        <x:v>2312</x:v>
      </x:c>
      <x:c r="E682" t="n">
        <x:f>MAX(10,ROUNDDOWN((('Calculator'!$B$10+A682)*SQRT('Calculator'!$B$11+B682)*SQRT('Calculator'!$B$12+C682)*0.667934^2)/10,0))</x:f>
        <x:v>2890</x:v>
      </x:c>
      <x:c r="F682" t="n">
        <x:f>--AND(A682&gt;='Calculator'!$B$5,B682&gt;='Calculator'!$B$5,C682&gt;='Calculator'!$B$5)</x:f>
        <x:v>1</x:v>
      </x:c>
      <x:c r="G682" t="n">
        <x:f>--AND(A682+'Calculator'!$B$6&gt;=15,B682+'Calculator'!$B$6&gt;=15,C682+'Calculator'!$B$6&gt;=15)</x:f>
        <x:v>0</x:v>
      </x:c>
      <x:c r="H682" t="n">
        <x:f>--AND(F682=1,D682='Calculator'!$B$4)</x:f>
        <x:v>0</x:v>
      </x:c>
      <x:c r="I682" t="n">
        <x:f>--AND(H682=1,G682=1)</x:f>
        <x:v>0</x:v>
      </x:c>
      <x:c r="J682" t="n">
        <x:f>--AND(F682=1,E682='Calculator'!$B$4)</x:f>
        <x:v>0</x:v>
      </x:c>
      <x:c r="K682" t="n">
        <x:f>--AND(J682=1,G682=1)</x:f>
        <x:v>0</x:v>
      </x:c>
      <x:c r="L682" t="str">
        <x:f>A682&amp;"/"&amp;B682&amp;"/"&amp;C682</x:f>
        <x:v>12/14/6</x:v>
      </x:c>
      <x:c r="M682" t="str">
        <x:f>MIN(15,A682+'Calculator'!$B$6)&amp;"/"&amp;MIN(15,B682+'Calculator'!$B$6)&amp;"/"&amp;MIN(15,C682+'Calculator'!$B$6)</x:f>
        <x:v>14/15/8</x:v>
      </x:c>
    </x:row>
    <x:row r="683">
      <x:c r="A683" t="n">
        <x:v>12</x:v>
      </x:c>
      <x:c r="B683" t="n">
        <x:v>14</x:v>
      </x:c>
      <x:c r="C683" t="n">
        <x:v>7</x:v>
      </x:c>
      <x:c r="D683" t="n">
        <x:f>MAX(10,ROUNDDOWN((('Calculator'!$B$10+A683)*SQRT('Calculator'!$B$11+B683)*SQRT('Calculator'!$B$12+C683)*0.59740001^2)/10,0))</x:f>
        <x:v>2317</x:v>
      </x:c>
      <x:c r="E683" t="n">
        <x:f>MAX(10,ROUNDDOWN((('Calculator'!$B$10+A683)*SQRT('Calculator'!$B$11+B683)*SQRT('Calculator'!$B$12+C683)*0.667934^2)/10,0))</x:f>
        <x:v>2896</x:v>
      </x:c>
      <x:c r="F683" t="n">
        <x:f>--AND(A683&gt;='Calculator'!$B$5,B683&gt;='Calculator'!$B$5,C683&gt;='Calculator'!$B$5)</x:f>
        <x:v>1</x:v>
      </x:c>
      <x:c r="G683" t="n">
        <x:f>--AND(A683+'Calculator'!$B$6&gt;=15,B683+'Calculator'!$B$6&gt;=15,C683+'Calculator'!$B$6&gt;=15)</x:f>
        <x:v>0</x:v>
      </x:c>
      <x:c r="H683" t="n">
        <x:f>--AND(F683=1,D683='Calculator'!$B$4)</x:f>
        <x:v>0</x:v>
      </x:c>
      <x:c r="I683" t="n">
        <x:f>--AND(H683=1,G683=1)</x:f>
        <x:v>0</x:v>
      </x:c>
      <x:c r="J683" t="n">
        <x:f>--AND(F683=1,E683='Calculator'!$B$4)</x:f>
        <x:v>0</x:v>
      </x:c>
      <x:c r="K683" t="n">
        <x:f>--AND(J683=1,G683=1)</x:f>
        <x:v>0</x:v>
      </x:c>
      <x:c r="L683" t="str">
        <x:f>A683&amp;"/"&amp;B683&amp;"/"&amp;C683</x:f>
        <x:v>12/14/7</x:v>
      </x:c>
      <x:c r="M683" t="str">
        <x:f>MIN(15,A683+'Calculator'!$B$6)&amp;"/"&amp;MIN(15,B683+'Calculator'!$B$6)&amp;"/"&amp;MIN(15,C683+'Calculator'!$B$6)</x:f>
        <x:v>14/15/9</x:v>
      </x:c>
    </x:row>
    <x:row r="684">
      <x:c r="A684" t="n">
        <x:v>12</x:v>
      </x:c>
      <x:c r="B684" t="n">
        <x:v>14</x:v>
      </x:c>
      <x:c r="C684" t="n">
        <x:v>8</x:v>
      </x:c>
      <x:c r="D684" t="n">
        <x:f>MAX(10,ROUNDDOWN((('Calculator'!$B$10+A684)*SQRT('Calculator'!$B$11+B684)*SQRT('Calculator'!$B$12+C684)*0.59740001^2)/10,0))</x:f>
        <x:v>2322</x:v>
      </x:c>
      <x:c r="E684" t="n">
        <x:f>MAX(10,ROUNDDOWN((('Calculator'!$B$10+A684)*SQRT('Calculator'!$B$11+B684)*SQRT('Calculator'!$B$12+C684)*0.667934^2)/10,0))</x:f>
        <x:v>2903</x:v>
      </x:c>
      <x:c r="F684" t="n">
        <x:f>--AND(A684&gt;='Calculator'!$B$5,B684&gt;='Calculator'!$B$5,C684&gt;='Calculator'!$B$5)</x:f>
        <x:v>1</x:v>
      </x:c>
      <x:c r="G684" t="n">
        <x:f>--AND(A684+'Calculator'!$B$6&gt;=15,B684+'Calculator'!$B$6&gt;=15,C684+'Calculator'!$B$6&gt;=15)</x:f>
        <x:v>0</x:v>
      </x:c>
      <x:c r="H684" t="n">
        <x:f>--AND(F684=1,D684='Calculator'!$B$4)</x:f>
        <x:v>0</x:v>
      </x:c>
      <x:c r="I684" t="n">
        <x:f>--AND(H684=1,G684=1)</x:f>
        <x:v>0</x:v>
      </x:c>
      <x:c r="J684" t="n">
        <x:f>--AND(F684=1,E684='Calculator'!$B$4)</x:f>
        <x:v>0</x:v>
      </x:c>
      <x:c r="K684" t="n">
        <x:f>--AND(J684=1,G684=1)</x:f>
        <x:v>0</x:v>
      </x:c>
      <x:c r="L684" t="str">
        <x:f>A684&amp;"/"&amp;B684&amp;"/"&amp;C684</x:f>
        <x:v>12/14/8</x:v>
      </x:c>
      <x:c r="M684" t="str">
        <x:f>MIN(15,A684+'Calculator'!$B$6)&amp;"/"&amp;MIN(15,B684+'Calculator'!$B$6)&amp;"/"&amp;MIN(15,C684+'Calculator'!$B$6)</x:f>
        <x:v>14/15/10</x:v>
      </x:c>
    </x:row>
    <x:row r="685">
      <x:c r="A685" t="n">
        <x:v>12</x:v>
      </x:c>
      <x:c r="B685" t="n">
        <x:v>14</x:v>
      </x:c>
      <x:c r="C685" t="n">
        <x:v>9</x:v>
      </x:c>
      <x:c r="D685" t="n">
        <x:f>MAX(10,ROUNDDOWN((('Calculator'!$B$10+A685)*SQRT('Calculator'!$B$11+B685)*SQRT('Calculator'!$B$12+C685)*0.59740001^2)/10,0))</x:f>
        <x:v>2327</x:v>
      </x:c>
      <x:c r="E685" t="n">
        <x:f>MAX(10,ROUNDDOWN((('Calculator'!$B$10+A685)*SQRT('Calculator'!$B$11+B685)*SQRT('Calculator'!$B$12+C685)*0.667934^2)/10,0))</x:f>
        <x:v>2910</x:v>
      </x:c>
      <x:c r="F685" t="n">
        <x:f>--AND(A685&gt;='Calculator'!$B$5,B685&gt;='Calculator'!$B$5,C685&gt;='Calculator'!$B$5)</x:f>
        <x:v>1</x:v>
      </x:c>
      <x:c r="G685" t="n">
        <x:f>--AND(A685+'Calculator'!$B$6&gt;=15,B685+'Calculator'!$B$6&gt;=15,C685+'Calculator'!$B$6&gt;=15)</x:f>
        <x:v>0</x:v>
      </x:c>
      <x:c r="H685" t="n">
        <x:f>--AND(F685=1,D685='Calculator'!$B$4)</x:f>
        <x:v>0</x:v>
      </x:c>
      <x:c r="I685" t="n">
        <x:f>--AND(H685=1,G685=1)</x:f>
        <x:v>0</x:v>
      </x:c>
      <x:c r="J685" t="n">
        <x:f>--AND(F685=1,E685='Calculator'!$B$4)</x:f>
        <x:v>0</x:v>
      </x:c>
      <x:c r="K685" t="n">
        <x:f>--AND(J685=1,G685=1)</x:f>
        <x:v>0</x:v>
      </x:c>
      <x:c r="L685" t="str">
        <x:f>A685&amp;"/"&amp;B685&amp;"/"&amp;C685</x:f>
        <x:v>12/14/9</x:v>
      </x:c>
      <x:c r="M685" t="str">
        <x:f>MIN(15,A685+'Calculator'!$B$6)&amp;"/"&amp;MIN(15,B685+'Calculator'!$B$6)&amp;"/"&amp;MIN(15,C685+'Calculator'!$B$6)</x:f>
        <x:v>14/15/11</x:v>
      </x:c>
    </x:row>
    <x:row r="686">
      <x:c r="A686" t="n">
        <x:v>12</x:v>
      </x:c>
      <x:c r="B686" t="n">
        <x:v>14</x:v>
      </x:c>
      <x:c r="C686" t="n">
        <x:v>10</x:v>
      </x:c>
      <x:c r="D686" t="n">
        <x:f>MAX(10,ROUNDDOWN((('Calculator'!$B$10+A686)*SQRT('Calculator'!$B$11+B686)*SQRT('Calculator'!$B$12+C686)*0.59740001^2)/10,0))</x:f>
        <x:v>2333</x:v>
      </x:c>
      <x:c r="E686" t="n">
        <x:f>MAX(10,ROUNDDOWN((('Calculator'!$B$10+A686)*SQRT('Calculator'!$B$11+B686)*SQRT('Calculator'!$B$12+C686)*0.667934^2)/10,0))</x:f>
        <x:v>2916</x:v>
      </x:c>
      <x:c r="F686" t="n">
        <x:f>--AND(A686&gt;='Calculator'!$B$5,B686&gt;='Calculator'!$B$5,C686&gt;='Calculator'!$B$5)</x:f>
        <x:v>1</x:v>
      </x:c>
      <x:c r="G686" t="n">
        <x:f>--AND(A686+'Calculator'!$B$6&gt;=15,B686+'Calculator'!$B$6&gt;=15,C686+'Calculator'!$B$6&gt;=15)</x:f>
        <x:v>0</x:v>
      </x:c>
      <x:c r="H686" t="n">
        <x:f>--AND(F686=1,D686='Calculator'!$B$4)</x:f>
        <x:v>0</x:v>
      </x:c>
      <x:c r="I686" t="n">
        <x:f>--AND(H686=1,G686=1)</x:f>
        <x:v>0</x:v>
      </x:c>
      <x:c r="J686" t="n">
        <x:f>--AND(F686=1,E686='Calculator'!$B$4)</x:f>
        <x:v>0</x:v>
      </x:c>
      <x:c r="K686" t="n">
        <x:f>--AND(J686=1,G686=1)</x:f>
        <x:v>0</x:v>
      </x:c>
      <x:c r="L686" t="str">
        <x:f>A686&amp;"/"&amp;B686&amp;"/"&amp;C686</x:f>
        <x:v>12/14/10</x:v>
      </x:c>
      <x:c r="M686" t="str">
        <x:f>MIN(15,A686+'Calculator'!$B$6)&amp;"/"&amp;MIN(15,B686+'Calculator'!$B$6)&amp;"/"&amp;MIN(15,C686+'Calculator'!$B$6)</x:f>
        <x:v>14/15/12</x:v>
      </x:c>
    </x:row>
    <x:row r="687">
      <x:c r="A687" t="n">
        <x:v>12</x:v>
      </x:c>
      <x:c r="B687" t="n">
        <x:v>14</x:v>
      </x:c>
      <x:c r="C687" t="n">
        <x:v>11</x:v>
      </x:c>
      <x:c r="D687" t="n">
        <x:f>MAX(10,ROUNDDOWN((('Calculator'!$B$10+A687)*SQRT('Calculator'!$B$11+B687)*SQRT('Calculator'!$B$12+C687)*0.59740001^2)/10,0))</x:f>
        <x:v>2338</x:v>
      </x:c>
      <x:c r="E687" t="n">
        <x:f>MAX(10,ROUNDDOWN((('Calculator'!$B$10+A687)*SQRT('Calculator'!$B$11+B687)*SQRT('Calculator'!$B$12+C687)*0.667934^2)/10,0))</x:f>
        <x:v>2923</x:v>
      </x:c>
      <x:c r="F687" t="n">
        <x:f>--AND(A687&gt;='Calculator'!$B$5,B687&gt;='Calculator'!$B$5,C687&gt;='Calculator'!$B$5)</x:f>
        <x:v>1</x:v>
      </x:c>
      <x:c r="G687" t="n">
        <x:f>--AND(A687+'Calculator'!$B$6&gt;=15,B687+'Calculator'!$B$6&gt;=15,C687+'Calculator'!$B$6&gt;=15)</x:f>
        <x:v>0</x:v>
      </x:c>
      <x:c r="H687" t="n">
        <x:f>--AND(F687=1,D687='Calculator'!$B$4)</x:f>
        <x:v>0</x:v>
      </x:c>
      <x:c r="I687" t="n">
        <x:f>--AND(H687=1,G687=1)</x:f>
        <x:v>0</x:v>
      </x:c>
      <x:c r="J687" t="n">
        <x:f>--AND(F687=1,E687='Calculator'!$B$4)</x:f>
        <x:v>0</x:v>
      </x:c>
      <x:c r="K687" t="n">
        <x:f>--AND(J687=1,G687=1)</x:f>
        <x:v>0</x:v>
      </x:c>
      <x:c r="L687" t="str">
        <x:f>A687&amp;"/"&amp;B687&amp;"/"&amp;C687</x:f>
        <x:v>12/14/11</x:v>
      </x:c>
      <x:c r="M687" t="str">
        <x:f>MIN(15,A687+'Calculator'!$B$6)&amp;"/"&amp;MIN(15,B687+'Calculator'!$B$6)&amp;"/"&amp;MIN(15,C687+'Calculator'!$B$6)</x:f>
        <x:v>14/15/13</x:v>
      </x:c>
    </x:row>
    <x:row r="688">
      <x:c r="A688" t="n">
        <x:v>12</x:v>
      </x:c>
      <x:c r="B688" t="n">
        <x:v>14</x:v>
      </x:c>
      <x:c r="C688" t="n">
        <x:v>12</x:v>
      </x:c>
      <x:c r="D688" t="n">
        <x:f>MAX(10,ROUNDDOWN((('Calculator'!$B$10+A688)*SQRT('Calculator'!$B$11+B688)*SQRT('Calculator'!$B$12+C688)*0.59740001^2)/10,0))</x:f>
        <x:v>2343</x:v>
      </x:c>
      <x:c r="E688" t="n">
        <x:f>MAX(10,ROUNDDOWN((('Calculator'!$B$10+A688)*SQRT('Calculator'!$B$11+B688)*SQRT('Calculator'!$B$12+C688)*0.667934^2)/10,0))</x:f>
        <x:v>2929</x:v>
      </x:c>
      <x:c r="F688" t="n">
        <x:f>--AND(A688&gt;='Calculator'!$B$5,B688&gt;='Calculator'!$B$5,C688&gt;='Calculator'!$B$5)</x:f>
        <x:v>1</x:v>
      </x:c>
      <x:c r="G688" t="n">
        <x:f>--AND(A688+'Calculator'!$B$6&gt;=15,B688+'Calculator'!$B$6&gt;=15,C688+'Calculator'!$B$6&gt;=15)</x:f>
        <x:v>0</x:v>
      </x:c>
      <x:c r="H688" t="n">
        <x:f>--AND(F688=1,D688='Calculator'!$B$4)</x:f>
        <x:v>0</x:v>
      </x:c>
      <x:c r="I688" t="n">
        <x:f>--AND(H688=1,G688=1)</x:f>
        <x:v>0</x:v>
      </x:c>
      <x:c r="J688" t="n">
        <x:f>--AND(F688=1,E688='Calculator'!$B$4)</x:f>
        <x:v>0</x:v>
      </x:c>
      <x:c r="K688" t="n">
        <x:f>--AND(J688=1,G688=1)</x:f>
        <x:v>0</x:v>
      </x:c>
      <x:c r="L688" t="str">
        <x:f>A688&amp;"/"&amp;B688&amp;"/"&amp;C688</x:f>
        <x:v>12/14/12</x:v>
      </x:c>
      <x:c r="M688" t="str">
        <x:f>MIN(15,A688+'Calculator'!$B$6)&amp;"/"&amp;MIN(15,B688+'Calculator'!$B$6)&amp;"/"&amp;MIN(15,C688+'Calculator'!$B$6)</x:f>
        <x:v>14/15/14</x:v>
      </x:c>
    </x:row>
    <x:row r="689">
      <x:c r="A689" t="n">
        <x:v>12</x:v>
      </x:c>
      <x:c r="B689" t="n">
        <x:v>14</x:v>
      </x:c>
      <x:c r="C689" t="n">
        <x:v>13</x:v>
      </x:c>
      <x:c r="D689" t="n">
        <x:f>MAX(10,ROUNDDOWN((('Calculator'!$B$10+A689)*SQRT('Calculator'!$B$11+B689)*SQRT('Calculator'!$B$12+C689)*0.59740001^2)/10,0))</x:f>
        <x:v>2348</x:v>
      </x:c>
      <x:c r="E689" t="n">
        <x:f>MAX(10,ROUNDDOWN((('Calculator'!$B$10+A689)*SQRT('Calculator'!$B$11+B689)*SQRT('Calculator'!$B$12+C689)*0.667934^2)/10,0))</x:f>
        <x:v>2936</x:v>
      </x:c>
      <x:c r="F689" t="n">
        <x:f>--AND(A689&gt;='Calculator'!$B$5,B689&gt;='Calculator'!$B$5,C689&gt;='Calculator'!$B$5)</x:f>
        <x:v>1</x:v>
      </x:c>
      <x:c r="G689" t="n">
        <x:f>--AND(A689+'Calculator'!$B$6&gt;=15,B689+'Calculator'!$B$6&gt;=15,C689+'Calculator'!$B$6&gt;=15)</x:f>
        <x:v>0</x:v>
      </x:c>
      <x:c r="H689" t="n">
        <x:f>--AND(F689=1,D689='Calculator'!$B$4)</x:f>
        <x:v>0</x:v>
      </x:c>
      <x:c r="I689" t="n">
        <x:f>--AND(H689=1,G689=1)</x:f>
        <x:v>0</x:v>
      </x:c>
      <x:c r="J689" t="n">
        <x:f>--AND(F689=1,E689='Calculator'!$B$4)</x:f>
        <x:v>0</x:v>
      </x:c>
      <x:c r="K689" t="n">
        <x:f>--AND(J689=1,G689=1)</x:f>
        <x:v>0</x:v>
      </x:c>
      <x:c r="L689" t="str">
        <x:f>A689&amp;"/"&amp;B689&amp;"/"&amp;C689</x:f>
        <x:v>12/14/13</x:v>
      </x:c>
      <x:c r="M689" t="str">
        <x:f>MIN(15,A689+'Calculator'!$B$6)&amp;"/"&amp;MIN(15,B689+'Calculator'!$B$6)&amp;"/"&amp;MIN(15,C689+'Calculator'!$B$6)</x:f>
        <x:v>14/15/15</x:v>
      </x:c>
    </x:row>
    <x:row r="690">
      <x:c r="A690" t="n">
        <x:v>12</x:v>
      </x:c>
      <x:c r="B690" t="n">
        <x:v>14</x:v>
      </x:c>
      <x:c r="C690" t="n">
        <x:v>14</x:v>
      </x:c>
      <x:c r="D690" t="n">
        <x:f>MAX(10,ROUNDDOWN((('Calculator'!$B$10+A690)*SQRT('Calculator'!$B$11+B690)*SQRT('Calculator'!$B$12+C690)*0.59740001^2)/10,0))</x:f>
        <x:v>2353</x:v>
      </x:c>
      <x:c r="E690" t="n">
        <x:f>MAX(10,ROUNDDOWN((('Calculator'!$B$10+A690)*SQRT('Calculator'!$B$11+B690)*SQRT('Calculator'!$B$12+C690)*0.667934^2)/10,0))</x:f>
        <x:v>2942</x:v>
      </x:c>
      <x:c r="F690" t="n">
        <x:f>--AND(A690&gt;='Calculator'!$B$5,B690&gt;='Calculator'!$B$5,C690&gt;='Calculator'!$B$5)</x:f>
        <x:v>1</x:v>
      </x:c>
      <x:c r="G690" t="n">
        <x:f>--AND(A690+'Calculator'!$B$6&gt;=15,B690+'Calculator'!$B$6&gt;=15,C690+'Calculator'!$B$6&gt;=15)</x:f>
        <x:v>0</x:v>
      </x:c>
      <x:c r="H690" t="n">
        <x:f>--AND(F690=1,D690='Calculator'!$B$4)</x:f>
        <x:v>0</x:v>
      </x:c>
      <x:c r="I690" t="n">
        <x:f>--AND(H690=1,G690=1)</x:f>
        <x:v>0</x:v>
      </x:c>
      <x:c r="J690" t="n">
        <x:f>--AND(F690=1,E690='Calculator'!$B$4)</x:f>
        <x:v>0</x:v>
      </x:c>
      <x:c r="K690" t="n">
        <x:f>--AND(J690=1,G690=1)</x:f>
        <x:v>0</x:v>
      </x:c>
      <x:c r="L690" t="str">
        <x:f>A690&amp;"/"&amp;B690&amp;"/"&amp;C690</x:f>
        <x:v>12/14/14</x:v>
      </x:c>
      <x:c r="M690" t="str">
        <x:f>MIN(15,A690+'Calculator'!$B$6)&amp;"/"&amp;MIN(15,B690+'Calculator'!$B$6)&amp;"/"&amp;MIN(15,C690+'Calculator'!$B$6)</x:f>
        <x:v>14/15/15</x:v>
      </x:c>
    </x:row>
    <x:row r="691">
      <x:c r="A691" t="n">
        <x:v>12</x:v>
      </x:c>
      <x:c r="B691" t="n">
        <x:v>14</x:v>
      </x:c>
      <x:c r="C691" t="n">
        <x:v>15</x:v>
      </x:c>
      <x:c r="D691" t="n">
        <x:f>MAX(10,ROUNDDOWN((('Calculator'!$B$10+A691)*SQRT('Calculator'!$B$11+B691)*SQRT('Calculator'!$B$12+C691)*0.59740001^2)/10,0))</x:f>
        <x:v>2359</x:v>
      </x:c>
      <x:c r="E691" t="n">
        <x:f>MAX(10,ROUNDDOWN((('Calculator'!$B$10+A691)*SQRT('Calculator'!$B$11+B691)*SQRT('Calculator'!$B$12+C691)*0.667934^2)/10,0))</x:f>
        <x:v>2948</x:v>
      </x:c>
      <x:c r="F691" t="n">
        <x:f>--AND(A691&gt;='Calculator'!$B$5,B691&gt;='Calculator'!$B$5,C691&gt;='Calculator'!$B$5)</x:f>
        <x:v>1</x:v>
      </x:c>
      <x:c r="G691" t="n">
        <x:f>--AND(A691+'Calculator'!$B$6&gt;=15,B691+'Calculator'!$B$6&gt;=15,C691+'Calculator'!$B$6&gt;=15)</x:f>
        <x:v>0</x:v>
      </x:c>
      <x:c r="H691" t="n">
        <x:f>--AND(F691=1,D691='Calculator'!$B$4)</x:f>
        <x:v>0</x:v>
      </x:c>
      <x:c r="I691" t="n">
        <x:f>--AND(H691=1,G691=1)</x:f>
        <x:v>0</x:v>
      </x:c>
      <x:c r="J691" t="n">
        <x:f>--AND(F691=1,E691='Calculator'!$B$4)</x:f>
        <x:v>0</x:v>
      </x:c>
      <x:c r="K691" t="n">
        <x:f>--AND(J691=1,G691=1)</x:f>
        <x:v>0</x:v>
      </x:c>
      <x:c r="L691" t="str">
        <x:f>A691&amp;"/"&amp;B691&amp;"/"&amp;C691</x:f>
        <x:v>12/14/15</x:v>
      </x:c>
      <x:c r="M691" t="str">
        <x:f>MIN(15,A691+'Calculator'!$B$6)&amp;"/"&amp;MIN(15,B691+'Calculator'!$B$6)&amp;"/"&amp;MIN(15,C691+'Calculator'!$B$6)</x:f>
        <x:v>14/15/15</x:v>
      </x:c>
    </x:row>
    <x:row r="692">
      <x:c r="A692" t="n">
        <x:v>12</x:v>
      </x:c>
      <x:c r="B692" t="n">
        <x:v>15</x:v>
      </x:c>
      <x:c r="C692" t="n">
        <x:v>6</x:v>
      </x:c>
      <x:c r="D692" t="n">
        <x:f>MAX(10,ROUNDDOWN((('Calculator'!$B$10+A692)*SQRT('Calculator'!$B$11+B692)*SQRT('Calculator'!$B$12+C692)*0.59740001^2)/10,0))</x:f>
        <x:v>2318</x:v>
      </x:c>
      <x:c r="E692" t="n">
        <x:f>MAX(10,ROUNDDOWN((('Calculator'!$B$10+A692)*SQRT('Calculator'!$B$11+B692)*SQRT('Calculator'!$B$12+C692)*0.667934^2)/10,0))</x:f>
        <x:v>2897</x:v>
      </x:c>
      <x:c r="F692" t="n">
        <x:f>--AND(A692&gt;='Calculator'!$B$5,B692&gt;='Calculator'!$B$5,C692&gt;='Calculator'!$B$5)</x:f>
        <x:v>1</x:v>
      </x:c>
      <x:c r="G692" t="n">
        <x:f>--AND(A692+'Calculator'!$B$6&gt;=15,B692+'Calculator'!$B$6&gt;=15,C692+'Calculator'!$B$6&gt;=15)</x:f>
        <x:v>0</x:v>
      </x:c>
      <x:c r="H692" t="n">
        <x:f>--AND(F692=1,D692='Calculator'!$B$4)</x:f>
        <x:v>0</x:v>
      </x:c>
      <x:c r="I692" t="n">
        <x:f>--AND(H692=1,G692=1)</x:f>
        <x:v>0</x:v>
      </x:c>
      <x:c r="J692" t="n">
        <x:f>--AND(F692=1,E692='Calculator'!$B$4)</x:f>
        <x:v>0</x:v>
      </x:c>
      <x:c r="K692" t="n">
        <x:f>--AND(J692=1,G692=1)</x:f>
        <x:v>0</x:v>
      </x:c>
      <x:c r="L692" t="str">
        <x:f>A692&amp;"/"&amp;B692&amp;"/"&amp;C692</x:f>
        <x:v>12/15/6</x:v>
      </x:c>
      <x:c r="M692" t="str">
        <x:f>MIN(15,A692+'Calculator'!$B$6)&amp;"/"&amp;MIN(15,B692+'Calculator'!$B$6)&amp;"/"&amp;MIN(15,C692+'Calculator'!$B$6)</x:f>
        <x:v>14/15/8</x:v>
      </x:c>
    </x:row>
    <x:row r="693">
      <x:c r="A693" t="n">
        <x:v>12</x:v>
      </x:c>
      <x:c r="B693" t="n">
        <x:v>15</x:v>
      </x:c>
      <x:c r="C693" t="n">
        <x:v>7</x:v>
      </x:c>
      <x:c r="D693" t="n">
        <x:f>MAX(10,ROUNDDOWN((('Calculator'!$B$10+A693)*SQRT('Calculator'!$B$11+B693)*SQRT('Calculator'!$B$12+C693)*0.59740001^2)/10,0))</x:f>
        <x:v>2323</x:v>
      </x:c>
      <x:c r="E693" t="n">
        <x:f>MAX(10,ROUNDDOWN((('Calculator'!$B$10+A693)*SQRT('Calculator'!$B$11+B693)*SQRT('Calculator'!$B$12+C693)*0.667934^2)/10,0))</x:f>
        <x:v>2904</x:v>
      </x:c>
      <x:c r="F693" t="n">
        <x:f>--AND(A693&gt;='Calculator'!$B$5,B693&gt;='Calculator'!$B$5,C693&gt;='Calculator'!$B$5)</x:f>
        <x:v>1</x:v>
      </x:c>
      <x:c r="G693" t="n">
        <x:f>--AND(A693+'Calculator'!$B$6&gt;=15,B693+'Calculator'!$B$6&gt;=15,C693+'Calculator'!$B$6&gt;=15)</x:f>
        <x:v>0</x:v>
      </x:c>
      <x:c r="H693" t="n">
        <x:f>--AND(F693=1,D693='Calculator'!$B$4)</x:f>
        <x:v>0</x:v>
      </x:c>
      <x:c r="I693" t="n">
        <x:f>--AND(H693=1,G693=1)</x:f>
        <x:v>0</x:v>
      </x:c>
      <x:c r="J693" t="n">
        <x:f>--AND(F693=1,E693='Calculator'!$B$4)</x:f>
        <x:v>0</x:v>
      </x:c>
      <x:c r="K693" t="n">
        <x:f>--AND(J693=1,G693=1)</x:f>
        <x:v>0</x:v>
      </x:c>
      <x:c r="L693" t="str">
        <x:f>A693&amp;"/"&amp;B693&amp;"/"&amp;C693</x:f>
        <x:v>12/15/7</x:v>
      </x:c>
      <x:c r="M693" t="str">
        <x:f>MIN(15,A693+'Calculator'!$B$6)&amp;"/"&amp;MIN(15,B693+'Calculator'!$B$6)&amp;"/"&amp;MIN(15,C693+'Calculator'!$B$6)</x:f>
        <x:v>14/15/9</x:v>
      </x:c>
    </x:row>
    <x:row r="694">
      <x:c r="A694" t="n">
        <x:v>12</x:v>
      </x:c>
      <x:c r="B694" t="n">
        <x:v>15</x:v>
      </x:c>
      <x:c r="C694" t="n">
        <x:v>8</x:v>
      </x:c>
      <x:c r="D694" t="n">
        <x:f>MAX(10,ROUNDDOWN((('Calculator'!$B$10+A694)*SQRT('Calculator'!$B$11+B694)*SQRT('Calculator'!$B$12+C694)*0.59740001^2)/10,0))</x:f>
        <x:v>2328</x:v>
      </x:c>
      <x:c r="E694" t="n">
        <x:f>MAX(10,ROUNDDOWN((('Calculator'!$B$10+A694)*SQRT('Calculator'!$B$11+B694)*SQRT('Calculator'!$B$12+C694)*0.667934^2)/10,0))</x:f>
        <x:v>2910</x:v>
      </x:c>
      <x:c r="F694" t="n">
        <x:f>--AND(A694&gt;='Calculator'!$B$5,B694&gt;='Calculator'!$B$5,C694&gt;='Calculator'!$B$5)</x:f>
        <x:v>1</x:v>
      </x:c>
      <x:c r="G694" t="n">
        <x:f>--AND(A694+'Calculator'!$B$6&gt;=15,B694+'Calculator'!$B$6&gt;=15,C694+'Calculator'!$B$6&gt;=15)</x:f>
        <x:v>0</x:v>
      </x:c>
      <x:c r="H694" t="n">
        <x:f>--AND(F694=1,D694='Calculator'!$B$4)</x:f>
        <x:v>0</x:v>
      </x:c>
      <x:c r="I694" t="n">
        <x:f>--AND(H694=1,G694=1)</x:f>
        <x:v>0</x:v>
      </x:c>
      <x:c r="J694" t="n">
        <x:f>--AND(F694=1,E694='Calculator'!$B$4)</x:f>
        <x:v>0</x:v>
      </x:c>
      <x:c r="K694" t="n">
        <x:f>--AND(J694=1,G694=1)</x:f>
        <x:v>0</x:v>
      </x:c>
      <x:c r="L694" t="str">
        <x:f>A694&amp;"/"&amp;B694&amp;"/"&amp;C694</x:f>
        <x:v>12/15/8</x:v>
      </x:c>
      <x:c r="M694" t="str">
        <x:f>MIN(15,A694+'Calculator'!$B$6)&amp;"/"&amp;MIN(15,B694+'Calculator'!$B$6)&amp;"/"&amp;MIN(15,C694+'Calculator'!$B$6)</x:f>
        <x:v>14/15/10</x:v>
      </x:c>
    </x:row>
    <x:row r="695">
      <x:c r="A695" t="n">
        <x:v>12</x:v>
      </x:c>
      <x:c r="B695" t="n">
        <x:v>15</x:v>
      </x:c>
      <x:c r="C695" t="n">
        <x:v>9</x:v>
      </x:c>
      <x:c r="D695" t="n">
        <x:f>MAX(10,ROUNDDOWN((('Calculator'!$B$10+A695)*SQRT('Calculator'!$B$11+B695)*SQRT('Calculator'!$B$12+C695)*0.59740001^2)/10,0))</x:f>
        <x:v>2333</x:v>
      </x:c>
      <x:c r="E695" t="n">
        <x:f>MAX(10,ROUNDDOWN((('Calculator'!$B$10+A695)*SQRT('Calculator'!$B$11+B695)*SQRT('Calculator'!$B$12+C695)*0.667934^2)/10,0))</x:f>
        <x:v>2917</x:v>
      </x:c>
      <x:c r="F695" t="n">
        <x:f>--AND(A695&gt;='Calculator'!$B$5,B695&gt;='Calculator'!$B$5,C695&gt;='Calculator'!$B$5)</x:f>
        <x:v>1</x:v>
      </x:c>
      <x:c r="G695" t="n">
        <x:f>--AND(A695+'Calculator'!$B$6&gt;=15,B695+'Calculator'!$B$6&gt;=15,C695+'Calculator'!$B$6&gt;=15)</x:f>
        <x:v>0</x:v>
      </x:c>
      <x:c r="H695" t="n">
        <x:f>--AND(F695=1,D695='Calculator'!$B$4)</x:f>
        <x:v>0</x:v>
      </x:c>
      <x:c r="I695" t="n">
        <x:f>--AND(H695=1,G695=1)</x:f>
        <x:v>0</x:v>
      </x:c>
      <x:c r="J695" t="n">
        <x:f>--AND(F695=1,E695='Calculator'!$B$4)</x:f>
        <x:v>0</x:v>
      </x:c>
      <x:c r="K695" t="n">
        <x:f>--AND(J695=1,G695=1)</x:f>
        <x:v>0</x:v>
      </x:c>
      <x:c r="L695" t="str">
        <x:f>A695&amp;"/"&amp;B695&amp;"/"&amp;C695</x:f>
        <x:v>12/15/9</x:v>
      </x:c>
      <x:c r="M695" t="str">
        <x:f>MIN(15,A695+'Calculator'!$B$6)&amp;"/"&amp;MIN(15,B695+'Calculator'!$B$6)&amp;"/"&amp;MIN(15,C695+'Calculator'!$B$6)</x:f>
        <x:v>14/15/11</x:v>
      </x:c>
    </x:row>
    <x:row r="696">
      <x:c r="A696" t="n">
        <x:v>12</x:v>
      </x:c>
      <x:c r="B696" t="n">
        <x:v>15</x:v>
      </x:c>
      <x:c r="C696" t="n">
        <x:v>10</x:v>
      </x:c>
      <x:c r="D696" t="n">
        <x:f>MAX(10,ROUNDDOWN((('Calculator'!$B$10+A696)*SQRT('Calculator'!$B$11+B696)*SQRT('Calculator'!$B$12+C696)*0.59740001^2)/10,0))</x:f>
        <x:v>2339</x:v>
      </x:c>
      <x:c r="E696" t="n">
        <x:f>MAX(10,ROUNDDOWN((('Calculator'!$B$10+A696)*SQRT('Calculator'!$B$11+B696)*SQRT('Calculator'!$B$12+C696)*0.667934^2)/10,0))</x:f>
        <x:v>2924</x:v>
      </x:c>
      <x:c r="F696" t="n">
        <x:f>--AND(A696&gt;='Calculator'!$B$5,B696&gt;='Calculator'!$B$5,C696&gt;='Calculator'!$B$5)</x:f>
        <x:v>1</x:v>
      </x:c>
      <x:c r="G696" t="n">
        <x:f>--AND(A696+'Calculator'!$B$6&gt;=15,B696+'Calculator'!$B$6&gt;=15,C696+'Calculator'!$B$6&gt;=15)</x:f>
        <x:v>0</x:v>
      </x:c>
      <x:c r="H696" t="n">
        <x:f>--AND(F696=1,D696='Calculator'!$B$4)</x:f>
        <x:v>0</x:v>
      </x:c>
      <x:c r="I696" t="n">
        <x:f>--AND(H696=1,G696=1)</x:f>
        <x:v>0</x:v>
      </x:c>
      <x:c r="J696" t="n">
        <x:f>--AND(F696=1,E696='Calculator'!$B$4)</x:f>
        <x:v>0</x:v>
      </x:c>
      <x:c r="K696" t="n">
        <x:f>--AND(J696=1,G696=1)</x:f>
        <x:v>0</x:v>
      </x:c>
      <x:c r="L696" t="str">
        <x:f>A696&amp;"/"&amp;B696&amp;"/"&amp;C696</x:f>
        <x:v>12/15/10</x:v>
      </x:c>
      <x:c r="M696" t="str">
        <x:f>MIN(15,A696+'Calculator'!$B$6)&amp;"/"&amp;MIN(15,B696+'Calculator'!$B$6)&amp;"/"&amp;MIN(15,C696+'Calculator'!$B$6)</x:f>
        <x:v>14/15/12</x:v>
      </x:c>
    </x:row>
    <x:row r="697">
      <x:c r="A697" t="n">
        <x:v>12</x:v>
      </x:c>
      <x:c r="B697" t="n">
        <x:v>15</x:v>
      </x:c>
      <x:c r="C697" t="n">
        <x:v>11</x:v>
      </x:c>
      <x:c r="D697" t="n">
        <x:f>MAX(10,ROUNDDOWN((('Calculator'!$B$10+A697)*SQRT('Calculator'!$B$11+B697)*SQRT('Calculator'!$B$12+C697)*0.59740001^2)/10,0))</x:f>
        <x:v>2344</x:v>
      </x:c>
      <x:c r="E697" t="n">
        <x:f>MAX(10,ROUNDDOWN((('Calculator'!$B$10+A697)*SQRT('Calculator'!$B$11+B697)*SQRT('Calculator'!$B$12+C697)*0.667934^2)/10,0))</x:f>
        <x:v>2930</x:v>
      </x:c>
      <x:c r="F697" t="n">
        <x:f>--AND(A697&gt;='Calculator'!$B$5,B697&gt;='Calculator'!$B$5,C697&gt;='Calculator'!$B$5)</x:f>
        <x:v>1</x:v>
      </x:c>
      <x:c r="G697" t="n">
        <x:f>--AND(A697+'Calculator'!$B$6&gt;=15,B697+'Calculator'!$B$6&gt;=15,C697+'Calculator'!$B$6&gt;=15)</x:f>
        <x:v>0</x:v>
      </x:c>
      <x:c r="H697" t="n">
        <x:f>--AND(F697=1,D697='Calculator'!$B$4)</x:f>
        <x:v>0</x:v>
      </x:c>
      <x:c r="I697" t="n">
        <x:f>--AND(H697=1,G697=1)</x:f>
        <x:v>0</x:v>
      </x:c>
      <x:c r="J697" t="n">
        <x:f>--AND(F697=1,E697='Calculator'!$B$4)</x:f>
        <x:v>0</x:v>
      </x:c>
      <x:c r="K697" t="n">
        <x:f>--AND(J697=1,G697=1)</x:f>
        <x:v>0</x:v>
      </x:c>
      <x:c r="L697" t="str">
        <x:f>A697&amp;"/"&amp;B697&amp;"/"&amp;C697</x:f>
        <x:v>12/15/11</x:v>
      </x:c>
      <x:c r="M697" t="str">
        <x:f>MIN(15,A697+'Calculator'!$B$6)&amp;"/"&amp;MIN(15,B697+'Calculator'!$B$6)&amp;"/"&amp;MIN(15,C697+'Calculator'!$B$6)</x:f>
        <x:v>14/15/13</x:v>
      </x:c>
    </x:row>
    <x:row r="698">
      <x:c r="A698" t="n">
        <x:v>12</x:v>
      </x:c>
      <x:c r="B698" t="n">
        <x:v>15</x:v>
      </x:c>
      <x:c r="C698" t="n">
        <x:v>12</x:v>
      </x:c>
      <x:c r="D698" t="n">
        <x:f>MAX(10,ROUNDDOWN((('Calculator'!$B$10+A698)*SQRT('Calculator'!$B$11+B698)*SQRT('Calculator'!$B$12+C698)*0.59740001^2)/10,0))</x:f>
        <x:v>2349</x:v>
      </x:c>
      <x:c r="E698" t="n">
        <x:f>MAX(10,ROUNDDOWN((('Calculator'!$B$10+A698)*SQRT('Calculator'!$B$11+B698)*SQRT('Calculator'!$B$12+C698)*0.667934^2)/10,0))</x:f>
        <x:v>2937</x:v>
      </x:c>
      <x:c r="F698" t="n">
        <x:f>--AND(A698&gt;='Calculator'!$B$5,B698&gt;='Calculator'!$B$5,C698&gt;='Calculator'!$B$5)</x:f>
        <x:v>1</x:v>
      </x:c>
      <x:c r="G698" t="n">
        <x:f>--AND(A698+'Calculator'!$B$6&gt;=15,B698+'Calculator'!$B$6&gt;=15,C698+'Calculator'!$B$6&gt;=15)</x:f>
        <x:v>0</x:v>
      </x:c>
      <x:c r="H698" t="n">
        <x:f>--AND(F698=1,D698='Calculator'!$B$4)</x:f>
        <x:v>0</x:v>
      </x:c>
      <x:c r="I698" t="n">
        <x:f>--AND(H698=1,G698=1)</x:f>
        <x:v>0</x:v>
      </x:c>
      <x:c r="J698" t="n">
        <x:f>--AND(F698=1,E698='Calculator'!$B$4)</x:f>
        <x:v>0</x:v>
      </x:c>
      <x:c r="K698" t="n">
        <x:f>--AND(J698=1,G698=1)</x:f>
        <x:v>0</x:v>
      </x:c>
      <x:c r="L698" t="str">
        <x:f>A698&amp;"/"&amp;B698&amp;"/"&amp;C698</x:f>
        <x:v>12/15/12</x:v>
      </x:c>
      <x:c r="M698" t="str">
        <x:f>MIN(15,A698+'Calculator'!$B$6)&amp;"/"&amp;MIN(15,B698+'Calculator'!$B$6)&amp;"/"&amp;MIN(15,C698+'Calculator'!$B$6)</x:f>
        <x:v>14/15/14</x:v>
      </x:c>
    </x:row>
    <x:row r="699">
      <x:c r="A699" t="n">
        <x:v>12</x:v>
      </x:c>
      <x:c r="B699" t="n">
        <x:v>15</x:v>
      </x:c>
      <x:c r="C699" t="n">
        <x:v>13</x:v>
      </x:c>
      <x:c r="D699" t="n">
        <x:f>MAX(10,ROUNDDOWN((('Calculator'!$B$10+A699)*SQRT('Calculator'!$B$11+B699)*SQRT('Calculator'!$B$12+C699)*0.59740001^2)/10,0))</x:f>
        <x:v>2354</x:v>
      </x:c>
      <x:c r="E699" t="n">
        <x:f>MAX(10,ROUNDDOWN((('Calculator'!$B$10+A699)*SQRT('Calculator'!$B$11+B699)*SQRT('Calculator'!$B$12+C699)*0.667934^2)/10,0))</x:f>
        <x:v>2943</x:v>
      </x:c>
      <x:c r="F699" t="n">
        <x:f>--AND(A699&gt;='Calculator'!$B$5,B699&gt;='Calculator'!$B$5,C699&gt;='Calculator'!$B$5)</x:f>
        <x:v>1</x:v>
      </x:c>
      <x:c r="G699" t="n">
        <x:f>--AND(A699+'Calculator'!$B$6&gt;=15,B699+'Calculator'!$B$6&gt;=15,C699+'Calculator'!$B$6&gt;=15)</x:f>
        <x:v>0</x:v>
      </x:c>
      <x:c r="H699" t="n">
        <x:f>--AND(F699=1,D699='Calculator'!$B$4)</x:f>
        <x:v>0</x:v>
      </x:c>
      <x:c r="I699" t="n">
        <x:f>--AND(H699=1,G699=1)</x:f>
        <x:v>0</x:v>
      </x:c>
      <x:c r="J699" t="n">
        <x:f>--AND(F699=1,E699='Calculator'!$B$4)</x:f>
        <x:v>0</x:v>
      </x:c>
      <x:c r="K699" t="n">
        <x:f>--AND(J699=1,G699=1)</x:f>
        <x:v>0</x:v>
      </x:c>
      <x:c r="L699" t="str">
        <x:f>A699&amp;"/"&amp;B699&amp;"/"&amp;C699</x:f>
        <x:v>12/15/13</x:v>
      </x:c>
      <x:c r="M699" t="str">
        <x:f>MIN(15,A699+'Calculator'!$B$6)&amp;"/"&amp;MIN(15,B699+'Calculator'!$B$6)&amp;"/"&amp;MIN(15,C699+'Calculator'!$B$6)</x:f>
        <x:v>14/15/15</x:v>
      </x:c>
    </x:row>
    <x:row r="700">
      <x:c r="A700" t="n">
        <x:v>12</x:v>
      </x:c>
      <x:c r="B700" t="n">
        <x:v>15</x:v>
      </x:c>
      <x:c r="C700" t="n">
        <x:v>14</x:v>
      </x:c>
      <x:c r="D700" t="n">
        <x:f>MAX(10,ROUNDDOWN((('Calculator'!$B$10+A700)*SQRT('Calculator'!$B$11+B700)*SQRT('Calculator'!$B$12+C700)*0.59740001^2)/10,0))</x:f>
        <x:v>2359</x:v>
      </x:c>
      <x:c r="E700" t="n">
        <x:f>MAX(10,ROUNDDOWN((('Calculator'!$B$10+A700)*SQRT('Calculator'!$B$11+B700)*SQRT('Calculator'!$B$12+C700)*0.667934^2)/10,0))</x:f>
        <x:v>2950</x:v>
      </x:c>
      <x:c r="F700" t="n">
        <x:f>--AND(A700&gt;='Calculator'!$B$5,B700&gt;='Calculator'!$B$5,C700&gt;='Calculator'!$B$5)</x:f>
        <x:v>1</x:v>
      </x:c>
      <x:c r="G700" t="n">
        <x:f>--AND(A700+'Calculator'!$B$6&gt;=15,B700+'Calculator'!$B$6&gt;=15,C700+'Calculator'!$B$6&gt;=15)</x:f>
        <x:v>0</x:v>
      </x:c>
      <x:c r="H700" t="n">
        <x:f>--AND(F700=1,D700='Calculator'!$B$4)</x:f>
        <x:v>0</x:v>
      </x:c>
      <x:c r="I700" t="n">
        <x:f>--AND(H700=1,G700=1)</x:f>
        <x:v>0</x:v>
      </x:c>
      <x:c r="J700" t="n">
        <x:f>--AND(F700=1,E700='Calculator'!$B$4)</x:f>
        <x:v>0</x:v>
      </x:c>
      <x:c r="K700" t="n">
        <x:f>--AND(J700=1,G700=1)</x:f>
        <x:v>0</x:v>
      </x:c>
      <x:c r="L700" t="str">
        <x:f>A700&amp;"/"&amp;B700&amp;"/"&amp;C700</x:f>
        <x:v>12/15/14</x:v>
      </x:c>
      <x:c r="M700" t="str">
        <x:f>MIN(15,A700+'Calculator'!$B$6)&amp;"/"&amp;MIN(15,B700+'Calculator'!$B$6)&amp;"/"&amp;MIN(15,C700+'Calculator'!$B$6)</x:f>
        <x:v>14/15/15</x:v>
      </x:c>
    </x:row>
    <x:row r="701">
      <x:c r="A701" t="n">
        <x:v>12</x:v>
      </x:c>
      <x:c r="B701" t="n">
        <x:v>15</x:v>
      </x:c>
      <x:c r="C701" t="n">
        <x:v>15</x:v>
      </x:c>
      <x:c r="D701" t="n">
        <x:f>MAX(10,ROUNDDOWN((('Calculator'!$B$10+A701)*SQRT('Calculator'!$B$11+B701)*SQRT('Calculator'!$B$12+C701)*0.59740001^2)/10,0))</x:f>
        <x:v>2365</x:v>
      </x:c>
      <x:c r="E701" t="n">
        <x:f>MAX(10,ROUNDDOWN((('Calculator'!$B$10+A701)*SQRT('Calculator'!$B$11+B701)*SQRT('Calculator'!$B$12+C701)*0.667934^2)/10,0))</x:f>
        <x:v>2956</x:v>
      </x:c>
      <x:c r="F701" t="n">
        <x:f>--AND(A701&gt;='Calculator'!$B$5,B701&gt;='Calculator'!$B$5,C701&gt;='Calculator'!$B$5)</x:f>
        <x:v>1</x:v>
      </x:c>
      <x:c r="G701" t="n">
        <x:f>--AND(A701+'Calculator'!$B$6&gt;=15,B701+'Calculator'!$B$6&gt;=15,C701+'Calculator'!$B$6&gt;=15)</x:f>
        <x:v>0</x:v>
      </x:c>
      <x:c r="H701" t="n">
        <x:f>--AND(F701=1,D701='Calculator'!$B$4)</x:f>
        <x:v>0</x:v>
      </x:c>
      <x:c r="I701" t="n">
        <x:f>--AND(H701=1,G701=1)</x:f>
        <x:v>0</x:v>
      </x:c>
      <x:c r="J701" t="n">
        <x:f>--AND(F701=1,E701='Calculator'!$B$4)</x:f>
        <x:v>0</x:v>
      </x:c>
      <x:c r="K701" t="n">
        <x:f>--AND(J701=1,G701=1)</x:f>
        <x:v>0</x:v>
      </x:c>
      <x:c r="L701" t="str">
        <x:f>A701&amp;"/"&amp;B701&amp;"/"&amp;C701</x:f>
        <x:v>12/15/15</x:v>
      </x:c>
      <x:c r="M701" t="str">
        <x:f>MIN(15,A701+'Calculator'!$B$6)&amp;"/"&amp;MIN(15,B701+'Calculator'!$B$6)&amp;"/"&amp;MIN(15,C701+'Calculator'!$B$6)</x:f>
        <x:v>14/15/15</x:v>
      </x:c>
    </x:row>
    <x:row r="702">
      <x:c r="A702" t="n">
        <x:v>13</x:v>
      </x:c>
      <x:c r="B702" t="n">
        <x:v>6</x:v>
      </x:c>
      <x:c r="C702" t="n">
        <x:v>6</x:v>
      </x:c>
      <x:c r="D702" t="n">
        <x:f>MAX(10,ROUNDDOWN((('Calculator'!$B$10+A702)*SQRT('Calculator'!$B$11+B702)*SQRT('Calculator'!$B$12+C702)*0.59740001^2)/10,0))</x:f>
        <x:v>2271</x:v>
      </x:c>
      <x:c r="E702" t="n">
        <x:f>MAX(10,ROUNDDOWN((('Calculator'!$B$10+A702)*SQRT('Calculator'!$B$11+B702)*SQRT('Calculator'!$B$12+C702)*0.667934^2)/10,0))</x:f>
        <x:v>2839</x:v>
      </x:c>
      <x:c r="F702" t="n">
        <x:f>--AND(A702&gt;='Calculator'!$B$5,B702&gt;='Calculator'!$B$5,C702&gt;='Calculator'!$B$5)</x:f>
        <x:v>1</x:v>
      </x:c>
      <x:c r="G702" t="n">
        <x:f>--AND(A702+'Calculator'!$B$6&gt;=15,B702+'Calculator'!$B$6&gt;=15,C702+'Calculator'!$B$6&gt;=15)</x:f>
        <x:v>0</x:v>
      </x:c>
      <x:c r="H702" t="n">
        <x:f>--AND(F702=1,D702='Calculator'!$B$4)</x:f>
        <x:v>0</x:v>
      </x:c>
      <x:c r="I702" t="n">
        <x:f>--AND(H702=1,G702=1)</x:f>
        <x:v>0</x:v>
      </x:c>
      <x:c r="J702" t="n">
        <x:f>--AND(F702=1,E702='Calculator'!$B$4)</x:f>
        <x:v>0</x:v>
      </x:c>
      <x:c r="K702" t="n">
        <x:f>--AND(J702=1,G702=1)</x:f>
        <x:v>0</x:v>
      </x:c>
      <x:c r="L702" t="str">
        <x:f>A702&amp;"/"&amp;B702&amp;"/"&amp;C702</x:f>
        <x:v>13/6/6</x:v>
      </x:c>
      <x:c r="M702" t="str">
        <x:f>MIN(15,A702+'Calculator'!$B$6)&amp;"/"&amp;MIN(15,B702+'Calculator'!$B$6)&amp;"/"&amp;MIN(15,C702+'Calculator'!$B$6)</x:f>
        <x:v>15/8/8</x:v>
      </x:c>
    </x:row>
    <x:row r="703">
      <x:c r="A703" t="n">
        <x:v>13</x:v>
      </x:c>
      <x:c r="B703" t="n">
        <x:v>6</x:v>
      </x:c>
      <x:c r="C703" t="n">
        <x:v>7</x:v>
      </x:c>
      <x:c r="D703" t="n">
        <x:f>MAX(10,ROUNDDOWN((('Calculator'!$B$10+A703)*SQRT('Calculator'!$B$11+B703)*SQRT('Calculator'!$B$12+C703)*0.59740001^2)/10,0))</x:f>
        <x:v>2276</x:v>
      </x:c>
      <x:c r="E703" t="n">
        <x:f>MAX(10,ROUNDDOWN((('Calculator'!$B$10+A703)*SQRT('Calculator'!$B$11+B703)*SQRT('Calculator'!$B$12+C703)*0.667934^2)/10,0))</x:f>
        <x:v>2846</x:v>
      </x:c>
      <x:c r="F703" t="n">
        <x:f>--AND(A703&gt;='Calculator'!$B$5,B703&gt;='Calculator'!$B$5,C703&gt;='Calculator'!$B$5)</x:f>
        <x:v>1</x:v>
      </x:c>
      <x:c r="G703" t="n">
        <x:f>--AND(A703+'Calculator'!$B$6&gt;=15,B703+'Calculator'!$B$6&gt;=15,C703+'Calculator'!$B$6&gt;=15)</x:f>
        <x:v>0</x:v>
      </x:c>
      <x:c r="H703" t="n">
        <x:f>--AND(F703=1,D703='Calculator'!$B$4)</x:f>
        <x:v>0</x:v>
      </x:c>
      <x:c r="I703" t="n">
        <x:f>--AND(H703=1,G703=1)</x:f>
        <x:v>0</x:v>
      </x:c>
      <x:c r="J703" t="n">
        <x:f>--AND(F703=1,E703='Calculator'!$B$4)</x:f>
        <x:v>0</x:v>
      </x:c>
      <x:c r="K703" t="n">
        <x:f>--AND(J703=1,G703=1)</x:f>
        <x:v>0</x:v>
      </x:c>
      <x:c r="L703" t="str">
        <x:f>A703&amp;"/"&amp;B703&amp;"/"&amp;C703</x:f>
        <x:v>13/6/7</x:v>
      </x:c>
      <x:c r="M703" t="str">
        <x:f>MIN(15,A703+'Calculator'!$B$6)&amp;"/"&amp;MIN(15,B703+'Calculator'!$B$6)&amp;"/"&amp;MIN(15,C703+'Calculator'!$B$6)</x:f>
        <x:v>15/8/9</x:v>
      </x:c>
    </x:row>
    <x:row r="704">
      <x:c r="A704" t="n">
        <x:v>13</x:v>
      </x:c>
      <x:c r="B704" t="n">
        <x:v>6</x:v>
      </x:c>
      <x:c r="C704" t="n">
        <x:v>8</x:v>
      </x:c>
      <x:c r="D704" t="n">
        <x:f>MAX(10,ROUNDDOWN((('Calculator'!$B$10+A704)*SQRT('Calculator'!$B$11+B704)*SQRT('Calculator'!$B$12+C704)*0.59740001^2)/10,0))</x:f>
        <x:v>2282</x:v>
      </x:c>
      <x:c r="E704" t="n">
        <x:f>MAX(10,ROUNDDOWN((('Calculator'!$B$10+A704)*SQRT('Calculator'!$B$11+B704)*SQRT('Calculator'!$B$12+C704)*0.667934^2)/10,0))</x:f>
        <x:v>2852</x:v>
      </x:c>
      <x:c r="F704" t="n">
        <x:f>--AND(A704&gt;='Calculator'!$B$5,B704&gt;='Calculator'!$B$5,C704&gt;='Calculator'!$B$5)</x:f>
        <x:v>1</x:v>
      </x:c>
      <x:c r="G704" t="n">
        <x:f>--AND(A704+'Calculator'!$B$6&gt;=15,B704+'Calculator'!$B$6&gt;=15,C704+'Calculator'!$B$6&gt;=15)</x:f>
        <x:v>0</x:v>
      </x:c>
      <x:c r="H704" t="n">
        <x:f>--AND(F704=1,D704='Calculator'!$B$4)</x:f>
        <x:v>0</x:v>
      </x:c>
      <x:c r="I704" t="n">
        <x:f>--AND(H704=1,G704=1)</x:f>
        <x:v>0</x:v>
      </x:c>
      <x:c r="J704" t="n">
        <x:f>--AND(F704=1,E704='Calculator'!$B$4)</x:f>
        <x:v>0</x:v>
      </x:c>
      <x:c r="K704" t="n">
        <x:f>--AND(J704=1,G704=1)</x:f>
        <x:v>0</x:v>
      </x:c>
      <x:c r="L704" t="str">
        <x:f>A704&amp;"/"&amp;B704&amp;"/"&amp;C704</x:f>
        <x:v>13/6/8</x:v>
      </x:c>
      <x:c r="M704" t="str">
        <x:f>MIN(15,A704+'Calculator'!$B$6)&amp;"/"&amp;MIN(15,B704+'Calculator'!$B$6)&amp;"/"&amp;MIN(15,C704+'Calculator'!$B$6)</x:f>
        <x:v>15/8/10</x:v>
      </x:c>
    </x:row>
    <x:row r="705">
      <x:c r="A705" t="n">
        <x:v>13</x:v>
      </x:c>
      <x:c r="B705" t="n">
        <x:v>6</x:v>
      </x:c>
      <x:c r="C705" t="n">
        <x:v>9</x:v>
      </x:c>
      <x:c r="D705" t="n">
        <x:f>MAX(10,ROUNDDOWN((('Calculator'!$B$10+A705)*SQRT('Calculator'!$B$11+B705)*SQRT('Calculator'!$B$12+C705)*0.59740001^2)/10,0))</x:f>
        <x:v>2287</x:v>
      </x:c>
      <x:c r="E705" t="n">
        <x:f>MAX(10,ROUNDDOWN((('Calculator'!$B$10+A705)*SQRT('Calculator'!$B$11+B705)*SQRT('Calculator'!$B$12+C705)*0.667934^2)/10,0))</x:f>
        <x:v>2859</x:v>
      </x:c>
      <x:c r="F705" t="n">
        <x:f>--AND(A705&gt;='Calculator'!$B$5,B705&gt;='Calculator'!$B$5,C705&gt;='Calculator'!$B$5)</x:f>
        <x:v>1</x:v>
      </x:c>
      <x:c r="G705" t="n">
        <x:f>--AND(A705+'Calculator'!$B$6&gt;=15,B705+'Calculator'!$B$6&gt;=15,C705+'Calculator'!$B$6&gt;=15)</x:f>
        <x:v>0</x:v>
      </x:c>
      <x:c r="H705" t="n">
        <x:f>--AND(F705=1,D705='Calculator'!$B$4)</x:f>
        <x:v>0</x:v>
      </x:c>
      <x:c r="I705" t="n">
        <x:f>--AND(H705=1,G705=1)</x:f>
        <x:v>0</x:v>
      </x:c>
      <x:c r="J705" t="n">
        <x:f>--AND(F705=1,E705='Calculator'!$B$4)</x:f>
        <x:v>0</x:v>
      </x:c>
      <x:c r="K705" t="n">
        <x:f>--AND(J705=1,G705=1)</x:f>
        <x:v>0</x:v>
      </x:c>
      <x:c r="L705" t="str">
        <x:f>A705&amp;"/"&amp;B705&amp;"/"&amp;C705</x:f>
        <x:v>13/6/9</x:v>
      </x:c>
      <x:c r="M705" t="str">
        <x:f>MIN(15,A705+'Calculator'!$B$6)&amp;"/"&amp;MIN(15,B705+'Calculator'!$B$6)&amp;"/"&amp;MIN(15,C705+'Calculator'!$B$6)</x:f>
        <x:v>15/8/11</x:v>
      </x:c>
    </x:row>
    <x:row r="706">
      <x:c r="A706" t="n">
        <x:v>13</x:v>
      </x:c>
      <x:c r="B706" t="n">
        <x:v>6</x:v>
      </x:c>
      <x:c r="C706" t="n">
        <x:v>10</x:v>
      </x:c>
      <x:c r="D706" t="n">
        <x:f>MAX(10,ROUNDDOWN((('Calculator'!$B$10+A706)*SQRT('Calculator'!$B$11+B706)*SQRT('Calculator'!$B$12+C706)*0.59740001^2)/10,0))</x:f>
        <x:v>2292</x:v>
      </x:c>
      <x:c r="E706" t="n">
        <x:f>MAX(10,ROUNDDOWN((('Calculator'!$B$10+A706)*SQRT('Calculator'!$B$11+B706)*SQRT('Calculator'!$B$12+C706)*0.667934^2)/10,0))</x:f>
        <x:v>2865</x:v>
      </x:c>
      <x:c r="F706" t="n">
        <x:f>--AND(A706&gt;='Calculator'!$B$5,B706&gt;='Calculator'!$B$5,C706&gt;='Calculator'!$B$5)</x:f>
        <x:v>1</x:v>
      </x:c>
      <x:c r="G706" t="n">
        <x:f>--AND(A706+'Calculator'!$B$6&gt;=15,B706+'Calculator'!$B$6&gt;=15,C706+'Calculator'!$B$6&gt;=15)</x:f>
        <x:v>0</x:v>
      </x:c>
      <x:c r="H706" t="n">
        <x:f>--AND(F706=1,D706='Calculator'!$B$4)</x:f>
        <x:v>0</x:v>
      </x:c>
      <x:c r="I706" t="n">
        <x:f>--AND(H706=1,G706=1)</x:f>
        <x:v>0</x:v>
      </x:c>
      <x:c r="J706" t="n">
        <x:f>--AND(F706=1,E706='Calculator'!$B$4)</x:f>
        <x:v>0</x:v>
      </x:c>
      <x:c r="K706" t="n">
        <x:f>--AND(J706=1,G706=1)</x:f>
        <x:v>0</x:v>
      </x:c>
      <x:c r="L706" t="str">
        <x:f>A706&amp;"/"&amp;B706&amp;"/"&amp;C706</x:f>
        <x:v>13/6/10</x:v>
      </x:c>
      <x:c r="M706" t="str">
        <x:f>MIN(15,A706+'Calculator'!$B$6)&amp;"/"&amp;MIN(15,B706+'Calculator'!$B$6)&amp;"/"&amp;MIN(15,C706+'Calculator'!$B$6)</x:f>
        <x:v>15/8/12</x:v>
      </x:c>
    </x:row>
    <x:row r="707">
      <x:c r="A707" t="n">
        <x:v>13</x:v>
      </x:c>
      <x:c r="B707" t="n">
        <x:v>6</x:v>
      </x:c>
      <x:c r="C707" t="n">
        <x:v>11</x:v>
      </x:c>
      <x:c r="D707" t="n">
        <x:f>MAX(10,ROUNDDOWN((('Calculator'!$B$10+A707)*SQRT('Calculator'!$B$11+B707)*SQRT('Calculator'!$B$12+C707)*0.59740001^2)/10,0))</x:f>
        <x:v>2297</x:v>
      </x:c>
      <x:c r="E707" t="n">
        <x:f>MAX(10,ROUNDDOWN((('Calculator'!$B$10+A707)*SQRT('Calculator'!$B$11+B707)*SQRT('Calculator'!$B$12+C707)*0.667934^2)/10,0))</x:f>
        <x:v>2871</x:v>
      </x:c>
      <x:c r="F707" t="n">
        <x:f>--AND(A707&gt;='Calculator'!$B$5,B707&gt;='Calculator'!$B$5,C707&gt;='Calculator'!$B$5)</x:f>
        <x:v>1</x:v>
      </x:c>
      <x:c r="G707" t="n">
        <x:f>--AND(A707+'Calculator'!$B$6&gt;=15,B707+'Calculator'!$B$6&gt;=15,C707+'Calculator'!$B$6&gt;=15)</x:f>
        <x:v>0</x:v>
      </x:c>
      <x:c r="H707" t="n">
        <x:f>--AND(F707=1,D707='Calculator'!$B$4)</x:f>
        <x:v>0</x:v>
      </x:c>
      <x:c r="I707" t="n">
        <x:f>--AND(H707=1,G707=1)</x:f>
        <x:v>0</x:v>
      </x:c>
      <x:c r="J707" t="n">
        <x:f>--AND(F707=1,E707='Calculator'!$B$4)</x:f>
        <x:v>0</x:v>
      </x:c>
      <x:c r="K707" t="n">
        <x:f>--AND(J707=1,G707=1)</x:f>
        <x:v>0</x:v>
      </x:c>
      <x:c r="L707" t="str">
        <x:f>A707&amp;"/"&amp;B707&amp;"/"&amp;C707</x:f>
        <x:v>13/6/11</x:v>
      </x:c>
      <x:c r="M707" t="str">
        <x:f>MIN(15,A707+'Calculator'!$B$6)&amp;"/"&amp;MIN(15,B707+'Calculator'!$B$6)&amp;"/"&amp;MIN(15,C707+'Calculator'!$B$6)</x:f>
        <x:v>15/8/13</x:v>
      </x:c>
    </x:row>
    <x:row r="708">
      <x:c r="A708" t="n">
        <x:v>13</x:v>
      </x:c>
      <x:c r="B708" t="n">
        <x:v>6</x:v>
      </x:c>
      <x:c r="C708" t="n">
        <x:v>12</x:v>
      </x:c>
      <x:c r="D708" t="n">
        <x:f>MAX(10,ROUNDDOWN((('Calculator'!$B$10+A708)*SQRT('Calculator'!$B$11+B708)*SQRT('Calculator'!$B$12+C708)*0.59740001^2)/10,0))</x:f>
        <x:v>2302</x:v>
      </x:c>
      <x:c r="E708" t="n">
        <x:f>MAX(10,ROUNDDOWN((('Calculator'!$B$10+A708)*SQRT('Calculator'!$B$11+B708)*SQRT('Calculator'!$B$12+C708)*0.667934^2)/10,0))</x:f>
        <x:v>2878</x:v>
      </x:c>
      <x:c r="F708" t="n">
        <x:f>--AND(A708&gt;='Calculator'!$B$5,B708&gt;='Calculator'!$B$5,C708&gt;='Calculator'!$B$5)</x:f>
        <x:v>1</x:v>
      </x:c>
      <x:c r="G708" t="n">
        <x:f>--AND(A708+'Calculator'!$B$6&gt;=15,B708+'Calculator'!$B$6&gt;=15,C708+'Calculator'!$B$6&gt;=15)</x:f>
        <x:v>0</x:v>
      </x:c>
      <x:c r="H708" t="n">
        <x:f>--AND(F708=1,D708='Calculator'!$B$4)</x:f>
        <x:v>0</x:v>
      </x:c>
      <x:c r="I708" t="n">
        <x:f>--AND(H708=1,G708=1)</x:f>
        <x:v>0</x:v>
      </x:c>
      <x:c r="J708" t="n">
        <x:f>--AND(F708=1,E708='Calculator'!$B$4)</x:f>
        <x:v>0</x:v>
      </x:c>
      <x:c r="K708" t="n">
        <x:f>--AND(J708=1,G708=1)</x:f>
        <x:v>0</x:v>
      </x:c>
      <x:c r="L708" t="str">
        <x:f>A708&amp;"/"&amp;B708&amp;"/"&amp;C708</x:f>
        <x:v>13/6/12</x:v>
      </x:c>
      <x:c r="M708" t="str">
        <x:f>MIN(15,A708+'Calculator'!$B$6)&amp;"/"&amp;MIN(15,B708+'Calculator'!$B$6)&amp;"/"&amp;MIN(15,C708+'Calculator'!$B$6)</x:f>
        <x:v>15/8/14</x:v>
      </x:c>
    </x:row>
    <x:row r="709">
      <x:c r="A709" t="n">
        <x:v>13</x:v>
      </x:c>
      <x:c r="B709" t="n">
        <x:v>6</x:v>
      </x:c>
      <x:c r="C709" t="n">
        <x:v>13</x:v>
      </x:c>
      <x:c r="D709" t="n">
        <x:f>MAX(10,ROUNDDOWN((('Calculator'!$B$10+A709)*SQRT('Calculator'!$B$11+B709)*SQRT('Calculator'!$B$12+C709)*0.59740001^2)/10,0))</x:f>
        <x:v>2307</x:v>
      </x:c>
      <x:c r="E709" t="n">
        <x:f>MAX(10,ROUNDDOWN((('Calculator'!$B$10+A709)*SQRT('Calculator'!$B$11+B709)*SQRT('Calculator'!$B$12+C709)*0.667934^2)/10,0))</x:f>
        <x:v>2884</x:v>
      </x:c>
      <x:c r="F709" t="n">
        <x:f>--AND(A709&gt;='Calculator'!$B$5,B709&gt;='Calculator'!$B$5,C709&gt;='Calculator'!$B$5)</x:f>
        <x:v>1</x:v>
      </x:c>
      <x:c r="G709" t="n">
        <x:f>--AND(A709+'Calculator'!$B$6&gt;=15,B709+'Calculator'!$B$6&gt;=15,C709+'Calculator'!$B$6&gt;=15)</x:f>
        <x:v>0</x:v>
      </x:c>
      <x:c r="H709" t="n">
        <x:f>--AND(F709=1,D709='Calculator'!$B$4)</x:f>
        <x:v>0</x:v>
      </x:c>
      <x:c r="I709" t="n">
        <x:f>--AND(H709=1,G709=1)</x:f>
        <x:v>0</x:v>
      </x:c>
      <x:c r="J709" t="n">
        <x:f>--AND(F709=1,E709='Calculator'!$B$4)</x:f>
        <x:v>0</x:v>
      </x:c>
      <x:c r="K709" t="n">
        <x:f>--AND(J709=1,G709=1)</x:f>
        <x:v>0</x:v>
      </x:c>
      <x:c r="L709" t="str">
        <x:f>A709&amp;"/"&amp;B709&amp;"/"&amp;C709</x:f>
        <x:v>13/6/13</x:v>
      </x:c>
      <x:c r="M709" t="str">
        <x:f>MIN(15,A709+'Calculator'!$B$6)&amp;"/"&amp;MIN(15,B709+'Calculator'!$B$6)&amp;"/"&amp;MIN(15,C709+'Calculator'!$B$6)</x:f>
        <x:v>15/8/15</x:v>
      </x:c>
    </x:row>
    <x:row r="710">
      <x:c r="A710" t="n">
        <x:v>13</x:v>
      </x:c>
      <x:c r="B710" t="n">
        <x:v>6</x:v>
      </x:c>
      <x:c r="C710" t="n">
        <x:v>14</x:v>
      </x:c>
      <x:c r="D710" t="n">
        <x:f>MAX(10,ROUNDDOWN((('Calculator'!$B$10+A710)*SQRT('Calculator'!$B$11+B710)*SQRT('Calculator'!$B$12+C710)*0.59740001^2)/10,0))</x:f>
        <x:v>2312</x:v>
      </x:c>
      <x:c r="E710" t="n">
        <x:f>MAX(10,ROUNDDOWN((('Calculator'!$B$10+A710)*SQRT('Calculator'!$B$11+B710)*SQRT('Calculator'!$B$12+C710)*0.667934^2)/10,0))</x:f>
        <x:v>2891</x:v>
      </x:c>
      <x:c r="F710" t="n">
        <x:f>--AND(A710&gt;='Calculator'!$B$5,B710&gt;='Calculator'!$B$5,C710&gt;='Calculator'!$B$5)</x:f>
        <x:v>1</x:v>
      </x:c>
      <x:c r="G710" t="n">
        <x:f>--AND(A710+'Calculator'!$B$6&gt;=15,B710+'Calculator'!$B$6&gt;=15,C710+'Calculator'!$B$6&gt;=15)</x:f>
        <x:v>0</x:v>
      </x:c>
      <x:c r="H710" t="n">
        <x:f>--AND(F710=1,D710='Calculator'!$B$4)</x:f>
        <x:v>0</x:v>
      </x:c>
      <x:c r="I710" t="n">
        <x:f>--AND(H710=1,G710=1)</x:f>
        <x:v>0</x:v>
      </x:c>
      <x:c r="J710" t="n">
        <x:f>--AND(F710=1,E710='Calculator'!$B$4)</x:f>
        <x:v>0</x:v>
      </x:c>
      <x:c r="K710" t="n">
        <x:f>--AND(J710=1,G710=1)</x:f>
        <x:v>0</x:v>
      </x:c>
      <x:c r="L710" t="str">
        <x:f>A710&amp;"/"&amp;B710&amp;"/"&amp;C710</x:f>
        <x:v>13/6/14</x:v>
      </x:c>
      <x:c r="M710" t="str">
        <x:f>MIN(15,A710+'Calculator'!$B$6)&amp;"/"&amp;MIN(15,B710+'Calculator'!$B$6)&amp;"/"&amp;MIN(15,C710+'Calculator'!$B$6)</x:f>
        <x:v>15/8/15</x:v>
      </x:c>
    </x:row>
    <x:row r="711">
      <x:c r="A711" t="n">
        <x:v>13</x:v>
      </x:c>
      <x:c r="B711" t="n">
        <x:v>6</x:v>
      </x:c>
      <x:c r="C711" t="n">
        <x:v>15</x:v>
      </x:c>
      <x:c r="D711" t="n">
        <x:f>MAX(10,ROUNDDOWN((('Calculator'!$B$10+A711)*SQRT('Calculator'!$B$11+B711)*SQRT('Calculator'!$B$12+C711)*0.59740001^2)/10,0))</x:f>
        <x:v>2317</x:v>
      </x:c>
      <x:c r="E711" t="n">
        <x:f>MAX(10,ROUNDDOWN((('Calculator'!$B$10+A711)*SQRT('Calculator'!$B$11+B711)*SQRT('Calculator'!$B$12+C711)*0.667934^2)/10,0))</x:f>
        <x:v>2897</x:v>
      </x:c>
      <x:c r="F711" t="n">
        <x:f>--AND(A711&gt;='Calculator'!$B$5,B711&gt;='Calculator'!$B$5,C711&gt;='Calculator'!$B$5)</x:f>
        <x:v>1</x:v>
      </x:c>
      <x:c r="G711" t="n">
        <x:f>--AND(A711+'Calculator'!$B$6&gt;=15,B711+'Calculator'!$B$6&gt;=15,C711+'Calculator'!$B$6&gt;=15)</x:f>
        <x:v>0</x:v>
      </x:c>
      <x:c r="H711" t="n">
        <x:f>--AND(F711=1,D711='Calculator'!$B$4)</x:f>
        <x:v>0</x:v>
      </x:c>
      <x:c r="I711" t="n">
        <x:f>--AND(H711=1,G711=1)</x:f>
        <x:v>0</x:v>
      </x:c>
      <x:c r="J711" t="n">
        <x:f>--AND(F711=1,E711='Calculator'!$B$4)</x:f>
        <x:v>0</x:v>
      </x:c>
      <x:c r="K711" t="n">
        <x:f>--AND(J711=1,G711=1)</x:f>
        <x:v>0</x:v>
      </x:c>
      <x:c r="L711" t="str">
        <x:f>A711&amp;"/"&amp;B711&amp;"/"&amp;C711</x:f>
        <x:v>13/6/15</x:v>
      </x:c>
      <x:c r="M711" t="str">
        <x:f>MIN(15,A711+'Calculator'!$B$6)&amp;"/"&amp;MIN(15,B711+'Calculator'!$B$6)&amp;"/"&amp;MIN(15,C711+'Calculator'!$B$6)</x:f>
        <x:v>15/8/15</x:v>
      </x:c>
    </x:row>
    <x:row r="712">
      <x:c r="A712" t="n">
        <x:v>13</x:v>
      </x:c>
      <x:c r="B712" t="n">
        <x:v>7</x:v>
      </x:c>
      <x:c r="C712" t="n">
        <x:v>6</x:v>
      </x:c>
      <x:c r="D712" t="n">
        <x:f>MAX(10,ROUNDDOWN((('Calculator'!$B$10+A712)*SQRT('Calculator'!$B$11+B712)*SQRT('Calculator'!$B$12+C712)*0.59740001^2)/10,0))</x:f>
        <x:v>2277</x:v>
      </x:c>
      <x:c r="E712" t="n">
        <x:f>MAX(10,ROUNDDOWN((('Calculator'!$B$10+A712)*SQRT('Calculator'!$B$11+B712)*SQRT('Calculator'!$B$12+C712)*0.667934^2)/10,0))</x:f>
        <x:v>2847</x:v>
      </x:c>
      <x:c r="F712" t="n">
        <x:f>--AND(A712&gt;='Calculator'!$B$5,B712&gt;='Calculator'!$B$5,C712&gt;='Calculator'!$B$5)</x:f>
        <x:v>1</x:v>
      </x:c>
      <x:c r="G712" t="n">
        <x:f>--AND(A712+'Calculator'!$B$6&gt;=15,B712+'Calculator'!$B$6&gt;=15,C712+'Calculator'!$B$6&gt;=15)</x:f>
        <x:v>0</x:v>
      </x:c>
      <x:c r="H712" t="n">
        <x:f>--AND(F712=1,D712='Calculator'!$B$4)</x:f>
        <x:v>0</x:v>
      </x:c>
      <x:c r="I712" t="n">
        <x:f>--AND(H712=1,G712=1)</x:f>
        <x:v>0</x:v>
      </x:c>
      <x:c r="J712" t="n">
        <x:f>--AND(F712=1,E712='Calculator'!$B$4)</x:f>
        <x:v>0</x:v>
      </x:c>
      <x:c r="K712" t="n">
        <x:f>--AND(J712=1,G712=1)</x:f>
        <x:v>0</x:v>
      </x:c>
      <x:c r="L712" t="str">
        <x:f>A712&amp;"/"&amp;B712&amp;"/"&amp;C712</x:f>
        <x:v>13/7/6</x:v>
      </x:c>
      <x:c r="M712" t="str">
        <x:f>MIN(15,A712+'Calculator'!$B$6)&amp;"/"&amp;MIN(15,B712+'Calculator'!$B$6)&amp;"/"&amp;MIN(15,C712+'Calculator'!$B$6)</x:f>
        <x:v>15/9/8</x:v>
      </x:c>
    </x:row>
    <x:row r="713">
      <x:c r="A713" t="n">
        <x:v>13</x:v>
      </x:c>
      <x:c r="B713" t="n">
        <x:v>7</x:v>
      </x:c>
      <x:c r="C713" t="n">
        <x:v>7</x:v>
      </x:c>
      <x:c r="D713" t="n">
        <x:f>MAX(10,ROUNDDOWN((('Calculator'!$B$10+A713)*SQRT('Calculator'!$B$11+B713)*SQRT('Calculator'!$B$12+C713)*0.59740001^2)/10,0))</x:f>
        <x:v>2282</x:v>
      </x:c>
      <x:c r="E713" t="n">
        <x:f>MAX(10,ROUNDDOWN((('Calculator'!$B$10+A713)*SQRT('Calculator'!$B$11+B713)*SQRT('Calculator'!$B$12+C713)*0.667934^2)/10,0))</x:f>
        <x:v>2853</x:v>
      </x:c>
      <x:c r="F713" t="n">
        <x:f>--AND(A713&gt;='Calculator'!$B$5,B713&gt;='Calculator'!$B$5,C713&gt;='Calculator'!$B$5)</x:f>
        <x:v>1</x:v>
      </x:c>
      <x:c r="G713" t="n">
        <x:f>--AND(A713+'Calculator'!$B$6&gt;=15,B713+'Calculator'!$B$6&gt;=15,C713+'Calculator'!$B$6&gt;=15)</x:f>
        <x:v>0</x:v>
      </x:c>
      <x:c r="H713" t="n">
        <x:f>--AND(F713=1,D713='Calculator'!$B$4)</x:f>
        <x:v>0</x:v>
      </x:c>
      <x:c r="I713" t="n">
        <x:f>--AND(H713=1,G713=1)</x:f>
        <x:v>0</x:v>
      </x:c>
      <x:c r="J713" t="n">
        <x:f>--AND(F713=1,E713='Calculator'!$B$4)</x:f>
        <x:v>0</x:v>
      </x:c>
      <x:c r="K713" t="n">
        <x:f>--AND(J713=1,G713=1)</x:f>
        <x:v>0</x:v>
      </x:c>
      <x:c r="L713" t="str">
        <x:f>A713&amp;"/"&amp;B713&amp;"/"&amp;C713</x:f>
        <x:v>13/7/7</x:v>
      </x:c>
      <x:c r="M713" t="str">
        <x:f>MIN(15,A713+'Calculator'!$B$6)&amp;"/"&amp;MIN(15,B713+'Calculator'!$B$6)&amp;"/"&amp;MIN(15,C713+'Calculator'!$B$6)</x:f>
        <x:v>15/9/9</x:v>
      </x:c>
    </x:row>
    <x:row r="714">
      <x:c r="A714" t="n">
        <x:v>13</x:v>
      </x:c>
      <x:c r="B714" t="n">
        <x:v>7</x:v>
      </x:c>
      <x:c r="C714" t="n">
        <x:v>8</x:v>
      </x:c>
      <x:c r="D714" t="n">
        <x:f>MAX(10,ROUNDDOWN((('Calculator'!$B$10+A714)*SQRT('Calculator'!$B$11+B714)*SQRT('Calculator'!$B$12+C714)*0.59740001^2)/10,0))</x:f>
        <x:v>2288</x:v>
      </x:c>
      <x:c r="E714" t="n">
        <x:f>MAX(10,ROUNDDOWN((('Calculator'!$B$10+A714)*SQRT('Calculator'!$B$11+B714)*SQRT('Calculator'!$B$12+C714)*0.667934^2)/10,0))</x:f>
        <x:v>2860</x:v>
      </x:c>
      <x:c r="F714" t="n">
        <x:f>--AND(A714&gt;='Calculator'!$B$5,B714&gt;='Calculator'!$B$5,C714&gt;='Calculator'!$B$5)</x:f>
        <x:v>1</x:v>
      </x:c>
      <x:c r="G714" t="n">
        <x:f>--AND(A714+'Calculator'!$B$6&gt;=15,B714+'Calculator'!$B$6&gt;=15,C714+'Calculator'!$B$6&gt;=15)</x:f>
        <x:v>0</x:v>
      </x:c>
      <x:c r="H714" t="n">
        <x:f>--AND(F714=1,D714='Calculator'!$B$4)</x:f>
        <x:v>0</x:v>
      </x:c>
      <x:c r="I714" t="n">
        <x:f>--AND(H714=1,G714=1)</x:f>
        <x:v>0</x:v>
      </x:c>
      <x:c r="J714" t="n">
        <x:f>--AND(F714=1,E714='Calculator'!$B$4)</x:f>
        <x:v>0</x:v>
      </x:c>
      <x:c r="K714" t="n">
        <x:f>--AND(J714=1,G714=1)</x:f>
        <x:v>0</x:v>
      </x:c>
      <x:c r="L714" t="str">
        <x:f>A714&amp;"/"&amp;B714&amp;"/"&amp;C714</x:f>
        <x:v>13/7/8</x:v>
      </x:c>
      <x:c r="M714" t="str">
        <x:f>MIN(15,A714+'Calculator'!$B$6)&amp;"/"&amp;MIN(15,B714+'Calculator'!$B$6)&amp;"/"&amp;MIN(15,C714+'Calculator'!$B$6)</x:f>
        <x:v>15/9/10</x:v>
      </x:c>
    </x:row>
    <x:row r="715">
      <x:c r="A715" t="n">
        <x:v>13</x:v>
      </x:c>
      <x:c r="B715" t="n">
        <x:v>7</x:v>
      </x:c>
      <x:c r="C715" t="n">
        <x:v>9</x:v>
      </x:c>
      <x:c r="D715" t="n">
        <x:f>MAX(10,ROUNDDOWN((('Calculator'!$B$10+A715)*SQRT('Calculator'!$B$11+B715)*SQRT('Calculator'!$B$12+C715)*0.59740001^2)/10,0))</x:f>
        <x:v>2293</x:v>
      </x:c>
      <x:c r="E715" t="n">
        <x:f>MAX(10,ROUNDDOWN((('Calculator'!$B$10+A715)*SQRT('Calculator'!$B$11+B715)*SQRT('Calculator'!$B$12+C715)*0.667934^2)/10,0))</x:f>
        <x:v>2866</x:v>
      </x:c>
      <x:c r="F715" t="n">
        <x:f>--AND(A715&gt;='Calculator'!$B$5,B715&gt;='Calculator'!$B$5,C715&gt;='Calculator'!$B$5)</x:f>
        <x:v>1</x:v>
      </x:c>
      <x:c r="G715" t="n">
        <x:f>--AND(A715+'Calculator'!$B$6&gt;=15,B715+'Calculator'!$B$6&gt;=15,C715+'Calculator'!$B$6&gt;=15)</x:f>
        <x:v>0</x:v>
      </x:c>
      <x:c r="H715" t="n">
        <x:f>--AND(F715=1,D715='Calculator'!$B$4)</x:f>
        <x:v>0</x:v>
      </x:c>
      <x:c r="I715" t="n">
        <x:f>--AND(H715=1,G715=1)</x:f>
        <x:v>0</x:v>
      </x:c>
      <x:c r="J715" t="n">
        <x:f>--AND(F715=1,E715='Calculator'!$B$4)</x:f>
        <x:v>0</x:v>
      </x:c>
      <x:c r="K715" t="n">
        <x:f>--AND(J715=1,G715=1)</x:f>
        <x:v>0</x:v>
      </x:c>
      <x:c r="L715" t="str">
        <x:f>A715&amp;"/"&amp;B715&amp;"/"&amp;C715</x:f>
        <x:v>13/7/9</x:v>
      </x:c>
      <x:c r="M715" t="str">
        <x:f>MIN(15,A715+'Calculator'!$B$6)&amp;"/"&amp;MIN(15,B715+'Calculator'!$B$6)&amp;"/"&amp;MIN(15,C715+'Calculator'!$B$6)</x:f>
        <x:v>15/9/11</x:v>
      </x:c>
    </x:row>
    <x:row r="716">
      <x:c r="A716" t="n">
        <x:v>13</x:v>
      </x:c>
      <x:c r="B716" t="n">
        <x:v>7</x:v>
      </x:c>
      <x:c r="C716" t="n">
        <x:v>10</x:v>
      </x:c>
      <x:c r="D716" t="n">
        <x:f>MAX(10,ROUNDDOWN((('Calculator'!$B$10+A716)*SQRT('Calculator'!$B$11+B716)*SQRT('Calculator'!$B$12+C716)*0.59740001^2)/10,0))</x:f>
        <x:v>2298</x:v>
      </x:c>
      <x:c r="E716" t="n">
        <x:f>MAX(10,ROUNDDOWN((('Calculator'!$B$10+A716)*SQRT('Calculator'!$B$11+B716)*SQRT('Calculator'!$B$12+C716)*0.667934^2)/10,0))</x:f>
        <x:v>2873</x:v>
      </x:c>
      <x:c r="F716" t="n">
        <x:f>--AND(A716&gt;='Calculator'!$B$5,B716&gt;='Calculator'!$B$5,C716&gt;='Calculator'!$B$5)</x:f>
        <x:v>1</x:v>
      </x:c>
      <x:c r="G716" t="n">
        <x:f>--AND(A716+'Calculator'!$B$6&gt;=15,B716+'Calculator'!$B$6&gt;=15,C716+'Calculator'!$B$6&gt;=15)</x:f>
        <x:v>0</x:v>
      </x:c>
      <x:c r="H716" t="n">
        <x:f>--AND(F716=1,D716='Calculator'!$B$4)</x:f>
        <x:v>0</x:v>
      </x:c>
      <x:c r="I716" t="n">
        <x:f>--AND(H716=1,G716=1)</x:f>
        <x:v>0</x:v>
      </x:c>
      <x:c r="J716" t="n">
        <x:f>--AND(F716=1,E716='Calculator'!$B$4)</x:f>
        <x:v>0</x:v>
      </x:c>
      <x:c r="K716" t="n">
        <x:f>--AND(J716=1,G716=1)</x:f>
        <x:v>0</x:v>
      </x:c>
      <x:c r="L716" t="str">
        <x:f>A716&amp;"/"&amp;B716&amp;"/"&amp;C716</x:f>
        <x:v>13/7/10</x:v>
      </x:c>
      <x:c r="M716" t="str">
        <x:f>MIN(15,A716+'Calculator'!$B$6)&amp;"/"&amp;MIN(15,B716+'Calculator'!$B$6)&amp;"/"&amp;MIN(15,C716+'Calculator'!$B$6)</x:f>
        <x:v>15/9/12</x:v>
      </x:c>
    </x:row>
    <x:row r="717">
      <x:c r="A717" t="n">
        <x:v>13</x:v>
      </x:c>
      <x:c r="B717" t="n">
        <x:v>7</x:v>
      </x:c>
      <x:c r="C717" t="n">
        <x:v>11</x:v>
      </x:c>
      <x:c r="D717" t="n">
        <x:f>MAX(10,ROUNDDOWN((('Calculator'!$B$10+A717)*SQRT('Calculator'!$B$11+B717)*SQRT('Calculator'!$B$12+C717)*0.59740001^2)/10,0))</x:f>
        <x:v>2303</x:v>
      </x:c>
      <x:c r="E717" t="n">
        <x:f>MAX(10,ROUNDDOWN((('Calculator'!$B$10+A717)*SQRT('Calculator'!$B$11+B717)*SQRT('Calculator'!$B$12+C717)*0.667934^2)/10,0))</x:f>
        <x:v>2879</x:v>
      </x:c>
      <x:c r="F717" t="n">
        <x:f>--AND(A717&gt;='Calculator'!$B$5,B717&gt;='Calculator'!$B$5,C717&gt;='Calculator'!$B$5)</x:f>
        <x:v>1</x:v>
      </x:c>
      <x:c r="G717" t="n">
        <x:f>--AND(A717+'Calculator'!$B$6&gt;=15,B717+'Calculator'!$B$6&gt;=15,C717+'Calculator'!$B$6&gt;=15)</x:f>
        <x:v>0</x:v>
      </x:c>
      <x:c r="H717" t="n">
        <x:f>--AND(F717=1,D717='Calculator'!$B$4)</x:f>
        <x:v>0</x:v>
      </x:c>
      <x:c r="I717" t="n">
        <x:f>--AND(H717=1,G717=1)</x:f>
        <x:v>0</x:v>
      </x:c>
      <x:c r="J717" t="n">
        <x:f>--AND(F717=1,E717='Calculator'!$B$4)</x:f>
        <x:v>0</x:v>
      </x:c>
      <x:c r="K717" t="n">
        <x:f>--AND(J717=1,G717=1)</x:f>
        <x:v>0</x:v>
      </x:c>
      <x:c r="L717" t="str">
        <x:f>A717&amp;"/"&amp;B717&amp;"/"&amp;C717</x:f>
        <x:v>13/7/11</x:v>
      </x:c>
      <x:c r="M717" t="str">
        <x:f>MIN(15,A717+'Calculator'!$B$6)&amp;"/"&amp;MIN(15,B717+'Calculator'!$B$6)&amp;"/"&amp;MIN(15,C717+'Calculator'!$B$6)</x:f>
        <x:v>15/9/13</x:v>
      </x:c>
    </x:row>
    <x:row r="718">
      <x:c r="A718" t="n">
        <x:v>13</x:v>
      </x:c>
      <x:c r="B718" t="n">
        <x:v>7</x:v>
      </x:c>
      <x:c r="C718" t="n">
        <x:v>12</x:v>
      </x:c>
      <x:c r="D718" t="n">
        <x:f>MAX(10,ROUNDDOWN((('Calculator'!$B$10+A718)*SQRT('Calculator'!$B$11+B718)*SQRT('Calculator'!$B$12+C718)*0.59740001^2)/10,0))</x:f>
        <x:v>2308</x:v>
      </x:c>
      <x:c r="E718" t="n">
        <x:f>MAX(10,ROUNDDOWN((('Calculator'!$B$10+A718)*SQRT('Calculator'!$B$11+B718)*SQRT('Calculator'!$B$12+C718)*0.667934^2)/10,0))</x:f>
        <x:v>2886</x:v>
      </x:c>
      <x:c r="F718" t="n">
        <x:f>--AND(A718&gt;='Calculator'!$B$5,B718&gt;='Calculator'!$B$5,C718&gt;='Calculator'!$B$5)</x:f>
        <x:v>1</x:v>
      </x:c>
      <x:c r="G718" t="n">
        <x:f>--AND(A718+'Calculator'!$B$6&gt;=15,B718+'Calculator'!$B$6&gt;=15,C718+'Calculator'!$B$6&gt;=15)</x:f>
        <x:v>0</x:v>
      </x:c>
      <x:c r="H718" t="n">
        <x:f>--AND(F718=1,D718='Calculator'!$B$4)</x:f>
        <x:v>0</x:v>
      </x:c>
      <x:c r="I718" t="n">
        <x:f>--AND(H718=1,G718=1)</x:f>
        <x:v>0</x:v>
      </x:c>
      <x:c r="J718" t="n">
        <x:f>--AND(F718=1,E718='Calculator'!$B$4)</x:f>
        <x:v>0</x:v>
      </x:c>
      <x:c r="K718" t="n">
        <x:f>--AND(J718=1,G718=1)</x:f>
        <x:v>0</x:v>
      </x:c>
      <x:c r="L718" t="str">
        <x:f>A718&amp;"/"&amp;B718&amp;"/"&amp;C718</x:f>
        <x:v>13/7/12</x:v>
      </x:c>
      <x:c r="M718" t="str">
        <x:f>MIN(15,A718+'Calculator'!$B$6)&amp;"/"&amp;MIN(15,B718+'Calculator'!$B$6)&amp;"/"&amp;MIN(15,C718+'Calculator'!$B$6)</x:f>
        <x:v>15/9/14</x:v>
      </x:c>
    </x:row>
    <x:row r="719">
      <x:c r="A719" t="n">
        <x:v>13</x:v>
      </x:c>
      <x:c r="B719" t="n">
        <x:v>7</x:v>
      </x:c>
      <x:c r="C719" t="n">
        <x:v>13</x:v>
      </x:c>
      <x:c r="D719" t="n">
        <x:f>MAX(10,ROUNDDOWN((('Calculator'!$B$10+A719)*SQRT('Calculator'!$B$11+B719)*SQRT('Calculator'!$B$12+C719)*0.59740001^2)/10,0))</x:f>
        <x:v>2313</x:v>
      </x:c>
      <x:c r="E719" t="n">
        <x:f>MAX(10,ROUNDDOWN((('Calculator'!$B$10+A719)*SQRT('Calculator'!$B$11+B719)*SQRT('Calculator'!$B$12+C719)*0.667934^2)/10,0))</x:f>
        <x:v>2892</x:v>
      </x:c>
      <x:c r="F719" t="n">
        <x:f>--AND(A719&gt;='Calculator'!$B$5,B719&gt;='Calculator'!$B$5,C719&gt;='Calculator'!$B$5)</x:f>
        <x:v>1</x:v>
      </x:c>
      <x:c r="G719" t="n">
        <x:f>--AND(A719+'Calculator'!$B$6&gt;=15,B719+'Calculator'!$B$6&gt;=15,C719+'Calculator'!$B$6&gt;=15)</x:f>
        <x:v>0</x:v>
      </x:c>
      <x:c r="H719" t="n">
        <x:f>--AND(F719=1,D719='Calculator'!$B$4)</x:f>
        <x:v>0</x:v>
      </x:c>
      <x:c r="I719" t="n">
        <x:f>--AND(H719=1,G719=1)</x:f>
        <x:v>0</x:v>
      </x:c>
      <x:c r="J719" t="n">
        <x:f>--AND(F719=1,E719='Calculator'!$B$4)</x:f>
        <x:v>0</x:v>
      </x:c>
      <x:c r="K719" t="n">
        <x:f>--AND(J719=1,G719=1)</x:f>
        <x:v>0</x:v>
      </x:c>
      <x:c r="L719" t="str">
        <x:f>A719&amp;"/"&amp;B719&amp;"/"&amp;C719</x:f>
        <x:v>13/7/13</x:v>
      </x:c>
      <x:c r="M719" t="str">
        <x:f>MIN(15,A719+'Calculator'!$B$6)&amp;"/"&amp;MIN(15,B719+'Calculator'!$B$6)&amp;"/"&amp;MIN(15,C719+'Calculator'!$B$6)</x:f>
        <x:v>15/9/15</x:v>
      </x:c>
    </x:row>
    <x:row r="720">
      <x:c r="A720" t="n">
        <x:v>13</x:v>
      </x:c>
      <x:c r="B720" t="n">
        <x:v>7</x:v>
      </x:c>
      <x:c r="C720" t="n">
        <x:v>14</x:v>
      </x:c>
      <x:c r="D720" t="n">
        <x:f>MAX(10,ROUNDDOWN((('Calculator'!$B$10+A720)*SQRT('Calculator'!$B$11+B720)*SQRT('Calculator'!$B$12+C720)*0.59740001^2)/10,0))</x:f>
        <x:v>2318</x:v>
      </x:c>
      <x:c r="E720" t="n">
        <x:f>MAX(10,ROUNDDOWN((('Calculator'!$B$10+A720)*SQRT('Calculator'!$B$11+B720)*SQRT('Calculator'!$B$12+C720)*0.667934^2)/10,0))</x:f>
        <x:v>2898</x:v>
      </x:c>
      <x:c r="F720" t="n">
        <x:f>--AND(A720&gt;='Calculator'!$B$5,B720&gt;='Calculator'!$B$5,C720&gt;='Calculator'!$B$5)</x:f>
        <x:v>1</x:v>
      </x:c>
      <x:c r="G720" t="n">
        <x:f>--AND(A720+'Calculator'!$B$6&gt;=15,B720+'Calculator'!$B$6&gt;=15,C720+'Calculator'!$B$6&gt;=15)</x:f>
        <x:v>0</x:v>
      </x:c>
      <x:c r="H720" t="n">
        <x:f>--AND(F720=1,D720='Calculator'!$B$4)</x:f>
        <x:v>0</x:v>
      </x:c>
      <x:c r="I720" t="n">
        <x:f>--AND(H720=1,G720=1)</x:f>
        <x:v>0</x:v>
      </x:c>
      <x:c r="J720" t="n">
        <x:f>--AND(F720=1,E720='Calculator'!$B$4)</x:f>
        <x:v>0</x:v>
      </x:c>
      <x:c r="K720" t="n">
        <x:f>--AND(J720=1,G720=1)</x:f>
        <x:v>0</x:v>
      </x:c>
      <x:c r="L720" t="str">
        <x:f>A720&amp;"/"&amp;B720&amp;"/"&amp;C720</x:f>
        <x:v>13/7/14</x:v>
      </x:c>
      <x:c r="M720" t="str">
        <x:f>MIN(15,A720+'Calculator'!$B$6)&amp;"/"&amp;MIN(15,B720+'Calculator'!$B$6)&amp;"/"&amp;MIN(15,C720+'Calculator'!$B$6)</x:f>
        <x:v>15/9/15</x:v>
      </x:c>
    </x:row>
    <x:row r="721">
      <x:c r="A721" t="n">
        <x:v>13</x:v>
      </x:c>
      <x:c r="B721" t="n">
        <x:v>7</x:v>
      </x:c>
      <x:c r="C721" t="n">
        <x:v>15</x:v>
      </x:c>
      <x:c r="D721" t="n">
        <x:f>MAX(10,ROUNDDOWN((('Calculator'!$B$10+A721)*SQRT('Calculator'!$B$11+B721)*SQRT('Calculator'!$B$12+C721)*0.59740001^2)/10,0))</x:f>
        <x:v>2323</x:v>
      </x:c>
      <x:c r="E721" t="n">
        <x:f>MAX(10,ROUNDDOWN((('Calculator'!$B$10+A721)*SQRT('Calculator'!$B$11+B721)*SQRT('Calculator'!$B$12+C721)*0.667934^2)/10,0))</x:f>
        <x:v>2905</x:v>
      </x:c>
      <x:c r="F721" t="n">
        <x:f>--AND(A721&gt;='Calculator'!$B$5,B721&gt;='Calculator'!$B$5,C721&gt;='Calculator'!$B$5)</x:f>
        <x:v>1</x:v>
      </x:c>
      <x:c r="G721" t="n">
        <x:f>--AND(A721+'Calculator'!$B$6&gt;=15,B721+'Calculator'!$B$6&gt;=15,C721+'Calculator'!$B$6&gt;=15)</x:f>
        <x:v>0</x:v>
      </x:c>
      <x:c r="H721" t="n">
        <x:f>--AND(F721=1,D721='Calculator'!$B$4)</x:f>
        <x:v>0</x:v>
      </x:c>
      <x:c r="I721" t="n">
        <x:f>--AND(H721=1,G721=1)</x:f>
        <x:v>0</x:v>
      </x:c>
      <x:c r="J721" t="n">
        <x:f>--AND(F721=1,E721='Calculator'!$B$4)</x:f>
        <x:v>0</x:v>
      </x:c>
      <x:c r="K721" t="n">
        <x:f>--AND(J721=1,G721=1)</x:f>
        <x:v>0</x:v>
      </x:c>
      <x:c r="L721" t="str">
        <x:f>A721&amp;"/"&amp;B721&amp;"/"&amp;C721</x:f>
        <x:v>13/7/15</x:v>
      </x:c>
      <x:c r="M721" t="str">
        <x:f>MIN(15,A721+'Calculator'!$B$6)&amp;"/"&amp;MIN(15,B721+'Calculator'!$B$6)&amp;"/"&amp;MIN(15,C721+'Calculator'!$B$6)</x:f>
        <x:v>15/9/15</x:v>
      </x:c>
    </x:row>
    <x:row r="722">
      <x:c r="A722" t="n">
        <x:v>13</x:v>
      </x:c>
      <x:c r="B722" t="n">
        <x:v>8</x:v>
      </x:c>
      <x:c r="C722" t="n">
        <x:v>6</x:v>
      </x:c>
      <x:c r="D722" t="n">
        <x:f>MAX(10,ROUNDDOWN((('Calculator'!$B$10+A722)*SQRT('Calculator'!$B$11+B722)*SQRT('Calculator'!$B$12+C722)*0.59740001^2)/10,0))</x:f>
        <x:v>2283</x:v>
      </x:c>
      <x:c r="E722" t="n">
        <x:f>MAX(10,ROUNDDOWN((('Calculator'!$B$10+A722)*SQRT('Calculator'!$B$11+B722)*SQRT('Calculator'!$B$12+C722)*0.667934^2)/10,0))</x:f>
        <x:v>2854</x:v>
      </x:c>
      <x:c r="F722" t="n">
        <x:f>--AND(A722&gt;='Calculator'!$B$5,B722&gt;='Calculator'!$B$5,C722&gt;='Calculator'!$B$5)</x:f>
        <x:v>1</x:v>
      </x:c>
      <x:c r="G722" t="n">
        <x:f>--AND(A722+'Calculator'!$B$6&gt;=15,B722+'Calculator'!$B$6&gt;=15,C722+'Calculator'!$B$6&gt;=15)</x:f>
        <x:v>0</x:v>
      </x:c>
      <x:c r="H722" t="n">
        <x:f>--AND(F722=1,D722='Calculator'!$B$4)</x:f>
        <x:v>0</x:v>
      </x:c>
      <x:c r="I722" t="n">
        <x:f>--AND(H722=1,G722=1)</x:f>
        <x:v>0</x:v>
      </x:c>
      <x:c r="J722" t="n">
        <x:f>--AND(F722=1,E722='Calculator'!$B$4)</x:f>
        <x:v>0</x:v>
      </x:c>
      <x:c r="K722" t="n">
        <x:f>--AND(J722=1,G722=1)</x:f>
        <x:v>0</x:v>
      </x:c>
      <x:c r="L722" t="str">
        <x:f>A722&amp;"/"&amp;B722&amp;"/"&amp;C722</x:f>
        <x:v>13/8/6</x:v>
      </x:c>
      <x:c r="M722" t="str">
        <x:f>MIN(15,A722+'Calculator'!$B$6)&amp;"/"&amp;MIN(15,B722+'Calculator'!$B$6)&amp;"/"&amp;MIN(15,C722+'Calculator'!$B$6)</x:f>
        <x:v>15/10/8</x:v>
      </x:c>
    </x:row>
    <x:row r="723">
      <x:c r="A723" t="n">
        <x:v>13</x:v>
      </x:c>
      <x:c r="B723" t="n">
        <x:v>8</x:v>
      </x:c>
      <x:c r="C723" t="n">
        <x:v>7</x:v>
      </x:c>
      <x:c r="D723" t="n">
        <x:f>MAX(10,ROUNDDOWN((('Calculator'!$B$10+A723)*SQRT('Calculator'!$B$11+B723)*SQRT('Calculator'!$B$12+C723)*0.59740001^2)/10,0))</x:f>
        <x:v>2289</x:v>
      </x:c>
      <x:c r="E723" t="n">
        <x:f>MAX(10,ROUNDDOWN((('Calculator'!$B$10+A723)*SQRT('Calculator'!$B$11+B723)*SQRT('Calculator'!$B$12+C723)*0.667934^2)/10,0))</x:f>
        <x:v>2861</x:v>
      </x:c>
      <x:c r="F723" t="n">
        <x:f>--AND(A723&gt;='Calculator'!$B$5,B723&gt;='Calculator'!$B$5,C723&gt;='Calculator'!$B$5)</x:f>
        <x:v>1</x:v>
      </x:c>
      <x:c r="G723" t="n">
        <x:f>--AND(A723+'Calculator'!$B$6&gt;=15,B723+'Calculator'!$B$6&gt;=15,C723+'Calculator'!$B$6&gt;=15)</x:f>
        <x:v>0</x:v>
      </x:c>
      <x:c r="H723" t="n">
        <x:f>--AND(F723=1,D723='Calculator'!$B$4)</x:f>
        <x:v>0</x:v>
      </x:c>
      <x:c r="I723" t="n">
        <x:f>--AND(H723=1,G723=1)</x:f>
        <x:v>0</x:v>
      </x:c>
      <x:c r="J723" t="n">
        <x:f>--AND(F723=1,E723='Calculator'!$B$4)</x:f>
        <x:v>0</x:v>
      </x:c>
      <x:c r="K723" t="n">
        <x:f>--AND(J723=1,G723=1)</x:f>
        <x:v>0</x:v>
      </x:c>
      <x:c r="L723" t="str">
        <x:f>A723&amp;"/"&amp;B723&amp;"/"&amp;C723</x:f>
        <x:v>13/8/7</x:v>
      </x:c>
      <x:c r="M723" t="str">
        <x:f>MIN(15,A723+'Calculator'!$B$6)&amp;"/"&amp;MIN(15,B723+'Calculator'!$B$6)&amp;"/"&amp;MIN(15,C723+'Calculator'!$B$6)</x:f>
        <x:v>15/10/9</x:v>
      </x:c>
    </x:row>
    <x:row r="724">
      <x:c r="A724" t="n">
        <x:v>13</x:v>
      </x:c>
      <x:c r="B724" t="n">
        <x:v>8</x:v>
      </x:c>
      <x:c r="C724" t="n">
        <x:v>8</x:v>
      </x:c>
      <x:c r="D724" t="n">
        <x:f>MAX(10,ROUNDDOWN((('Calculator'!$B$10+A724)*SQRT('Calculator'!$B$11+B724)*SQRT('Calculator'!$B$12+C724)*0.59740001^2)/10,0))</x:f>
        <x:v>2294</x:v>
      </x:c>
      <x:c r="E724" t="n">
        <x:f>MAX(10,ROUNDDOWN((('Calculator'!$B$10+A724)*SQRT('Calculator'!$B$11+B724)*SQRT('Calculator'!$B$12+C724)*0.667934^2)/10,0))</x:f>
        <x:v>2867</x:v>
      </x:c>
      <x:c r="F724" t="n">
        <x:f>--AND(A724&gt;='Calculator'!$B$5,B724&gt;='Calculator'!$B$5,C724&gt;='Calculator'!$B$5)</x:f>
        <x:v>1</x:v>
      </x:c>
      <x:c r="G724" t="n">
        <x:f>--AND(A724+'Calculator'!$B$6&gt;=15,B724+'Calculator'!$B$6&gt;=15,C724+'Calculator'!$B$6&gt;=15)</x:f>
        <x:v>0</x:v>
      </x:c>
      <x:c r="H724" t="n">
        <x:f>--AND(F724=1,D724='Calculator'!$B$4)</x:f>
        <x:v>0</x:v>
      </x:c>
      <x:c r="I724" t="n">
        <x:f>--AND(H724=1,G724=1)</x:f>
        <x:v>0</x:v>
      </x:c>
      <x:c r="J724" t="n">
        <x:f>--AND(F724=1,E724='Calculator'!$B$4)</x:f>
        <x:v>0</x:v>
      </x:c>
      <x:c r="K724" t="n">
        <x:f>--AND(J724=1,G724=1)</x:f>
        <x:v>0</x:v>
      </x:c>
      <x:c r="L724" t="str">
        <x:f>A724&amp;"/"&amp;B724&amp;"/"&amp;C724</x:f>
        <x:v>13/8/8</x:v>
      </x:c>
      <x:c r="M724" t="str">
        <x:f>MIN(15,A724+'Calculator'!$B$6)&amp;"/"&amp;MIN(15,B724+'Calculator'!$B$6)&amp;"/"&amp;MIN(15,C724+'Calculator'!$B$6)</x:f>
        <x:v>15/10/10</x:v>
      </x:c>
    </x:row>
    <x:row r="725">
      <x:c r="A725" t="n">
        <x:v>13</x:v>
      </x:c>
      <x:c r="B725" t="n">
        <x:v>8</x:v>
      </x:c>
      <x:c r="C725" t="n">
        <x:v>9</x:v>
      </x:c>
      <x:c r="D725" t="n">
        <x:f>MAX(10,ROUNDDOWN((('Calculator'!$B$10+A725)*SQRT('Calculator'!$B$11+B725)*SQRT('Calculator'!$B$12+C725)*0.59740001^2)/10,0))</x:f>
        <x:v>2299</x:v>
      </x:c>
      <x:c r="E725" t="n">
        <x:f>MAX(10,ROUNDDOWN((('Calculator'!$B$10+A725)*SQRT('Calculator'!$B$11+B725)*SQRT('Calculator'!$B$12+C725)*0.667934^2)/10,0))</x:f>
        <x:v>2874</x:v>
      </x:c>
      <x:c r="F725" t="n">
        <x:f>--AND(A725&gt;='Calculator'!$B$5,B725&gt;='Calculator'!$B$5,C725&gt;='Calculator'!$B$5)</x:f>
        <x:v>1</x:v>
      </x:c>
      <x:c r="G725" t="n">
        <x:f>--AND(A725+'Calculator'!$B$6&gt;=15,B725+'Calculator'!$B$6&gt;=15,C725+'Calculator'!$B$6&gt;=15)</x:f>
        <x:v>0</x:v>
      </x:c>
      <x:c r="H725" t="n">
        <x:f>--AND(F725=1,D725='Calculator'!$B$4)</x:f>
        <x:v>0</x:v>
      </x:c>
      <x:c r="I725" t="n">
        <x:f>--AND(H725=1,G725=1)</x:f>
        <x:v>0</x:v>
      </x:c>
      <x:c r="J725" t="n">
        <x:f>--AND(F725=1,E725='Calculator'!$B$4)</x:f>
        <x:v>0</x:v>
      </x:c>
      <x:c r="K725" t="n">
        <x:f>--AND(J725=1,G725=1)</x:f>
        <x:v>0</x:v>
      </x:c>
      <x:c r="L725" t="str">
        <x:f>A725&amp;"/"&amp;B725&amp;"/"&amp;C725</x:f>
        <x:v>13/8/9</x:v>
      </x:c>
      <x:c r="M725" t="str">
        <x:f>MIN(15,A725+'Calculator'!$B$6)&amp;"/"&amp;MIN(15,B725+'Calculator'!$B$6)&amp;"/"&amp;MIN(15,C725+'Calculator'!$B$6)</x:f>
        <x:v>15/10/11</x:v>
      </x:c>
    </x:row>
    <x:row r="726">
      <x:c r="A726" t="n">
        <x:v>13</x:v>
      </x:c>
      <x:c r="B726" t="n">
        <x:v>8</x:v>
      </x:c>
      <x:c r="C726" t="n">
        <x:v>10</x:v>
      </x:c>
      <x:c r="D726" t="n">
        <x:f>MAX(10,ROUNDDOWN((('Calculator'!$B$10+A726)*SQRT('Calculator'!$B$11+B726)*SQRT('Calculator'!$B$12+C726)*0.59740001^2)/10,0))</x:f>
        <x:v>2304</x:v>
      </x:c>
      <x:c r="E726" t="n">
        <x:f>MAX(10,ROUNDDOWN((('Calculator'!$B$10+A726)*SQRT('Calculator'!$B$11+B726)*SQRT('Calculator'!$B$12+C726)*0.667934^2)/10,0))</x:f>
        <x:v>2880</x:v>
      </x:c>
      <x:c r="F726" t="n">
        <x:f>--AND(A726&gt;='Calculator'!$B$5,B726&gt;='Calculator'!$B$5,C726&gt;='Calculator'!$B$5)</x:f>
        <x:v>1</x:v>
      </x:c>
      <x:c r="G726" t="n">
        <x:f>--AND(A726+'Calculator'!$B$6&gt;=15,B726+'Calculator'!$B$6&gt;=15,C726+'Calculator'!$B$6&gt;=15)</x:f>
        <x:v>0</x:v>
      </x:c>
      <x:c r="H726" t="n">
        <x:f>--AND(F726=1,D726='Calculator'!$B$4)</x:f>
        <x:v>0</x:v>
      </x:c>
      <x:c r="I726" t="n">
        <x:f>--AND(H726=1,G726=1)</x:f>
        <x:v>0</x:v>
      </x:c>
      <x:c r="J726" t="n">
        <x:f>--AND(F726=1,E726='Calculator'!$B$4)</x:f>
        <x:v>0</x:v>
      </x:c>
      <x:c r="K726" t="n">
        <x:f>--AND(J726=1,G726=1)</x:f>
        <x:v>0</x:v>
      </x:c>
      <x:c r="L726" t="str">
        <x:f>A726&amp;"/"&amp;B726&amp;"/"&amp;C726</x:f>
        <x:v>13/8/10</x:v>
      </x:c>
      <x:c r="M726" t="str">
        <x:f>MIN(15,A726+'Calculator'!$B$6)&amp;"/"&amp;MIN(15,B726+'Calculator'!$B$6)&amp;"/"&amp;MIN(15,C726+'Calculator'!$B$6)</x:f>
        <x:v>15/10/12</x:v>
      </x:c>
    </x:row>
    <x:row r="727">
      <x:c r="A727" t="n">
        <x:v>13</x:v>
      </x:c>
      <x:c r="B727" t="n">
        <x:v>8</x:v>
      </x:c>
      <x:c r="C727" t="n">
        <x:v>11</x:v>
      </x:c>
      <x:c r="D727" t="n">
        <x:f>MAX(10,ROUNDDOWN((('Calculator'!$B$10+A727)*SQRT('Calculator'!$B$11+B727)*SQRT('Calculator'!$B$12+C727)*0.59740001^2)/10,0))</x:f>
        <x:v>2309</x:v>
      </x:c>
      <x:c r="E727" t="n">
        <x:f>MAX(10,ROUNDDOWN((('Calculator'!$B$10+A727)*SQRT('Calculator'!$B$11+B727)*SQRT('Calculator'!$B$12+C727)*0.667934^2)/10,0))</x:f>
        <x:v>2887</x:v>
      </x:c>
      <x:c r="F727" t="n">
        <x:f>--AND(A727&gt;='Calculator'!$B$5,B727&gt;='Calculator'!$B$5,C727&gt;='Calculator'!$B$5)</x:f>
        <x:v>1</x:v>
      </x:c>
      <x:c r="G727" t="n">
        <x:f>--AND(A727+'Calculator'!$B$6&gt;=15,B727+'Calculator'!$B$6&gt;=15,C727+'Calculator'!$B$6&gt;=15)</x:f>
        <x:v>0</x:v>
      </x:c>
      <x:c r="H727" t="n">
        <x:f>--AND(F727=1,D727='Calculator'!$B$4)</x:f>
        <x:v>0</x:v>
      </x:c>
      <x:c r="I727" t="n">
        <x:f>--AND(H727=1,G727=1)</x:f>
        <x:v>0</x:v>
      </x:c>
      <x:c r="J727" t="n">
        <x:f>--AND(F727=1,E727='Calculator'!$B$4)</x:f>
        <x:v>0</x:v>
      </x:c>
      <x:c r="K727" t="n">
        <x:f>--AND(J727=1,G727=1)</x:f>
        <x:v>0</x:v>
      </x:c>
      <x:c r="L727" t="str">
        <x:f>A727&amp;"/"&amp;B727&amp;"/"&amp;C727</x:f>
        <x:v>13/8/11</x:v>
      </x:c>
      <x:c r="M727" t="str">
        <x:f>MIN(15,A727+'Calculator'!$B$6)&amp;"/"&amp;MIN(15,B727+'Calculator'!$B$6)&amp;"/"&amp;MIN(15,C727+'Calculator'!$B$6)</x:f>
        <x:v>15/10/13</x:v>
      </x:c>
    </x:row>
    <x:row r="728">
      <x:c r="A728" t="n">
        <x:v>13</x:v>
      </x:c>
      <x:c r="B728" t="n">
        <x:v>8</x:v>
      </x:c>
      <x:c r="C728" t="n">
        <x:v>12</x:v>
      </x:c>
      <x:c r="D728" t="n">
        <x:f>MAX(10,ROUNDDOWN((('Calculator'!$B$10+A728)*SQRT('Calculator'!$B$11+B728)*SQRT('Calculator'!$B$12+C728)*0.59740001^2)/10,0))</x:f>
        <x:v>2314</x:v>
      </x:c>
      <x:c r="E728" t="n">
        <x:f>MAX(10,ROUNDDOWN((('Calculator'!$B$10+A728)*SQRT('Calculator'!$B$11+B728)*SQRT('Calculator'!$B$12+C728)*0.667934^2)/10,0))</x:f>
        <x:v>2893</x:v>
      </x:c>
      <x:c r="F728" t="n">
        <x:f>--AND(A728&gt;='Calculator'!$B$5,B728&gt;='Calculator'!$B$5,C728&gt;='Calculator'!$B$5)</x:f>
        <x:v>1</x:v>
      </x:c>
      <x:c r="G728" t="n">
        <x:f>--AND(A728+'Calculator'!$B$6&gt;=15,B728+'Calculator'!$B$6&gt;=15,C728+'Calculator'!$B$6&gt;=15)</x:f>
        <x:v>0</x:v>
      </x:c>
      <x:c r="H728" t="n">
        <x:f>--AND(F728=1,D728='Calculator'!$B$4)</x:f>
        <x:v>0</x:v>
      </x:c>
      <x:c r="I728" t="n">
        <x:f>--AND(H728=1,G728=1)</x:f>
        <x:v>0</x:v>
      </x:c>
      <x:c r="J728" t="n">
        <x:f>--AND(F728=1,E728='Calculator'!$B$4)</x:f>
        <x:v>0</x:v>
      </x:c>
      <x:c r="K728" t="n">
        <x:f>--AND(J728=1,G728=1)</x:f>
        <x:v>0</x:v>
      </x:c>
      <x:c r="L728" t="str">
        <x:f>A728&amp;"/"&amp;B728&amp;"/"&amp;C728</x:f>
        <x:v>13/8/12</x:v>
      </x:c>
      <x:c r="M728" t="str">
        <x:f>MIN(15,A728+'Calculator'!$B$6)&amp;"/"&amp;MIN(15,B728+'Calculator'!$B$6)&amp;"/"&amp;MIN(15,C728+'Calculator'!$B$6)</x:f>
        <x:v>15/10/14</x:v>
      </x:c>
    </x:row>
    <x:row r="729">
      <x:c r="A729" t="n">
        <x:v>13</x:v>
      </x:c>
      <x:c r="B729" t="n">
        <x:v>8</x:v>
      </x:c>
      <x:c r="C729" t="n">
        <x:v>13</x:v>
      </x:c>
      <x:c r="D729" t="n">
        <x:f>MAX(10,ROUNDDOWN((('Calculator'!$B$10+A729)*SQRT('Calculator'!$B$11+B729)*SQRT('Calculator'!$B$12+C729)*0.59740001^2)/10,0))</x:f>
        <x:v>2319</x:v>
      </x:c>
      <x:c r="E729" t="n">
        <x:f>MAX(10,ROUNDDOWN((('Calculator'!$B$10+A729)*SQRT('Calculator'!$B$11+B729)*SQRT('Calculator'!$B$12+C729)*0.667934^2)/10,0))</x:f>
        <x:v>2900</x:v>
      </x:c>
      <x:c r="F729" t="n">
        <x:f>--AND(A729&gt;='Calculator'!$B$5,B729&gt;='Calculator'!$B$5,C729&gt;='Calculator'!$B$5)</x:f>
        <x:v>1</x:v>
      </x:c>
      <x:c r="G729" t="n">
        <x:f>--AND(A729+'Calculator'!$B$6&gt;=15,B729+'Calculator'!$B$6&gt;=15,C729+'Calculator'!$B$6&gt;=15)</x:f>
        <x:v>0</x:v>
      </x:c>
      <x:c r="H729" t="n">
        <x:f>--AND(F729=1,D729='Calculator'!$B$4)</x:f>
        <x:v>0</x:v>
      </x:c>
      <x:c r="I729" t="n">
        <x:f>--AND(H729=1,G729=1)</x:f>
        <x:v>0</x:v>
      </x:c>
      <x:c r="J729" t="n">
        <x:f>--AND(F729=1,E729='Calculator'!$B$4)</x:f>
        <x:v>0</x:v>
      </x:c>
      <x:c r="K729" t="n">
        <x:f>--AND(J729=1,G729=1)</x:f>
        <x:v>0</x:v>
      </x:c>
      <x:c r="L729" t="str">
        <x:f>A729&amp;"/"&amp;B729&amp;"/"&amp;C729</x:f>
        <x:v>13/8/13</x:v>
      </x:c>
      <x:c r="M729" t="str">
        <x:f>MIN(15,A729+'Calculator'!$B$6)&amp;"/"&amp;MIN(15,B729+'Calculator'!$B$6)&amp;"/"&amp;MIN(15,C729+'Calculator'!$B$6)</x:f>
        <x:v>15/10/15</x:v>
      </x:c>
    </x:row>
    <x:row r="730">
      <x:c r="A730" t="n">
        <x:v>13</x:v>
      </x:c>
      <x:c r="B730" t="n">
        <x:v>8</x:v>
      </x:c>
      <x:c r="C730" t="n">
        <x:v>14</x:v>
      </x:c>
      <x:c r="D730" t="n">
        <x:f>MAX(10,ROUNDDOWN((('Calculator'!$B$10+A730)*SQRT('Calculator'!$B$11+B730)*SQRT('Calculator'!$B$12+C730)*0.59740001^2)/10,0))</x:f>
        <x:v>2324</x:v>
      </x:c>
      <x:c r="E730" t="n">
        <x:f>MAX(10,ROUNDDOWN((('Calculator'!$B$10+A730)*SQRT('Calculator'!$B$11+B730)*SQRT('Calculator'!$B$12+C730)*0.667934^2)/10,0))</x:f>
        <x:v>2906</x:v>
      </x:c>
      <x:c r="F730" t="n">
        <x:f>--AND(A730&gt;='Calculator'!$B$5,B730&gt;='Calculator'!$B$5,C730&gt;='Calculator'!$B$5)</x:f>
        <x:v>1</x:v>
      </x:c>
      <x:c r="G730" t="n">
        <x:f>--AND(A730+'Calculator'!$B$6&gt;=15,B730+'Calculator'!$B$6&gt;=15,C730+'Calculator'!$B$6&gt;=15)</x:f>
        <x:v>0</x:v>
      </x:c>
      <x:c r="H730" t="n">
        <x:f>--AND(F730=1,D730='Calculator'!$B$4)</x:f>
        <x:v>0</x:v>
      </x:c>
      <x:c r="I730" t="n">
        <x:f>--AND(H730=1,G730=1)</x:f>
        <x:v>0</x:v>
      </x:c>
      <x:c r="J730" t="n">
        <x:f>--AND(F730=1,E730='Calculator'!$B$4)</x:f>
        <x:v>0</x:v>
      </x:c>
      <x:c r="K730" t="n">
        <x:f>--AND(J730=1,G730=1)</x:f>
        <x:v>0</x:v>
      </x:c>
      <x:c r="L730" t="str">
        <x:f>A730&amp;"/"&amp;B730&amp;"/"&amp;C730</x:f>
        <x:v>13/8/14</x:v>
      </x:c>
      <x:c r="M730" t="str">
        <x:f>MIN(15,A730+'Calculator'!$B$6)&amp;"/"&amp;MIN(15,B730+'Calculator'!$B$6)&amp;"/"&amp;MIN(15,C730+'Calculator'!$B$6)</x:f>
        <x:v>15/10/15</x:v>
      </x:c>
    </x:row>
    <x:row r="731">
      <x:c r="A731" t="n">
        <x:v>13</x:v>
      </x:c>
      <x:c r="B731" t="n">
        <x:v>8</x:v>
      </x:c>
      <x:c r="C731" t="n">
        <x:v>15</x:v>
      </x:c>
      <x:c r="D731" t="n">
        <x:f>MAX(10,ROUNDDOWN((('Calculator'!$B$10+A731)*SQRT('Calculator'!$B$11+B731)*SQRT('Calculator'!$B$12+C731)*0.59740001^2)/10,0))</x:f>
        <x:v>2330</x:v>
      </x:c>
      <x:c r="E731" t="n">
        <x:f>MAX(10,ROUNDDOWN((('Calculator'!$B$10+A731)*SQRT('Calculator'!$B$11+B731)*SQRT('Calculator'!$B$12+C731)*0.667934^2)/10,0))</x:f>
        <x:v>2912</x:v>
      </x:c>
      <x:c r="F731" t="n">
        <x:f>--AND(A731&gt;='Calculator'!$B$5,B731&gt;='Calculator'!$B$5,C731&gt;='Calculator'!$B$5)</x:f>
        <x:v>1</x:v>
      </x:c>
      <x:c r="G731" t="n">
        <x:f>--AND(A731+'Calculator'!$B$6&gt;=15,B731+'Calculator'!$B$6&gt;=15,C731+'Calculator'!$B$6&gt;=15)</x:f>
        <x:v>0</x:v>
      </x:c>
      <x:c r="H731" t="n">
        <x:f>--AND(F731=1,D731='Calculator'!$B$4)</x:f>
        <x:v>0</x:v>
      </x:c>
      <x:c r="I731" t="n">
        <x:f>--AND(H731=1,G731=1)</x:f>
        <x:v>0</x:v>
      </x:c>
      <x:c r="J731" t="n">
        <x:f>--AND(F731=1,E731='Calculator'!$B$4)</x:f>
        <x:v>0</x:v>
      </x:c>
      <x:c r="K731" t="n">
        <x:f>--AND(J731=1,G731=1)</x:f>
        <x:v>0</x:v>
      </x:c>
      <x:c r="L731" t="str">
        <x:f>A731&amp;"/"&amp;B731&amp;"/"&amp;C731</x:f>
        <x:v>13/8/15</x:v>
      </x:c>
      <x:c r="M731" t="str">
        <x:f>MIN(15,A731+'Calculator'!$B$6)&amp;"/"&amp;MIN(15,B731+'Calculator'!$B$6)&amp;"/"&amp;MIN(15,C731+'Calculator'!$B$6)</x:f>
        <x:v>15/10/15</x:v>
      </x:c>
    </x:row>
    <x:row r="732">
      <x:c r="A732" t="n">
        <x:v>13</x:v>
      </x:c>
      <x:c r="B732" t="n">
        <x:v>9</x:v>
      </x:c>
      <x:c r="C732" t="n">
        <x:v>6</x:v>
      </x:c>
      <x:c r="D732" t="n">
        <x:f>MAX(10,ROUNDDOWN((('Calculator'!$B$10+A732)*SQRT('Calculator'!$B$11+B732)*SQRT('Calculator'!$B$12+C732)*0.59740001^2)/10,0))</x:f>
        <x:v>2289</x:v>
      </x:c>
      <x:c r="E732" t="n">
        <x:f>MAX(10,ROUNDDOWN((('Calculator'!$B$10+A732)*SQRT('Calculator'!$B$11+B732)*SQRT('Calculator'!$B$12+C732)*0.667934^2)/10,0))</x:f>
        <x:v>2862</x:v>
      </x:c>
      <x:c r="F732" t="n">
        <x:f>--AND(A732&gt;='Calculator'!$B$5,B732&gt;='Calculator'!$B$5,C732&gt;='Calculator'!$B$5)</x:f>
        <x:v>1</x:v>
      </x:c>
      <x:c r="G732" t="n">
        <x:f>--AND(A732+'Calculator'!$B$6&gt;=15,B732+'Calculator'!$B$6&gt;=15,C732+'Calculator'!$B$6&gt;=15)</x:f>
        <x:v>0</x:v>
      </x:c>
      <x:c r="H732" t="n">
        <x:f>--AND(F732=1,D732='Calculator'!$B$4)</x:f>
        <x:v>0</x:v>
      </x:c>
      <x:c r="I732" t="n">
        <x:f>--AND(H732=1,G732=1)</x:f>
        <x:v>0</x:v>
      </x:c>
      <x:c r="J732" t="n">
        <x:f>--AND(F732=1,E732='Calculator'!$B$4)</x:f>
        <x:v>0</x:v>
      </x:c>
      <x:c r="K732" t="n">
        <x:f>--AND(J732=1,G732=1)</x:f>
        <x:v>0</x:v>
      </x:c>
      <x:c r="L732" t="str">
        <x:f>A732&amp;"/"&amp;B732&amp;"/"&amp;C732</x:f>
        <x:v>13/9/6</x:v>
      </x:c>
      <x:c r="M732" t="str">
        <x:f>MIN(15,A732+'Calculator'!$B$6)&amp;"/"&amp;MIN(15,B732+'Calculator'!$B$6)&amp;"/"&amp;MIN(15,C732+'Calculator'!$B$6)</x:f>
        <x:v>15/11/8</x:v>
      </x:c>
    </x:row>
    <x:row r="733">
      <x:c r="A733" t="n">
        <x:v>13</x:v>
      </x:c>
      <x:c r="B733" t="n">
        <x:v>9</x:v>
      </x:c>
      <x:c r="C733" t="n">
        <x:v>7</x:v>
      </x:c>
      <x:c r="D733" t="n">
        <x:f>MAX(10,ROUNDDOWN((('Calculator'!$B$10+A733)*SQRT('Calculator'!$B$11+B733)*SQRT('Calculator'!$B$12+C733)*0.59740001^2)/10,0))</x:f>
        <x:v>2295</x:v>
      </x:c>
      <x:c r="E733" t="n">
        <x:f>MAX(10,ROUNDDOWN((('Calculator'!$B$10+A733)*SQRT('Calculator'!$B$11+B733)*SQRT('Calculator'!$B$12+C733)*0.667934^2)/10,0))</x:f>
        <x:v>2868</x:v>
      </x:c>
      <x:c r="F733" t="n">
        <x:f>--AND(A733&gt;='Calculator'!$B$5,B733&gt;='Calculator'!$B$5,C733&gt;='Calculator'!$B$5)</x:f>
        <x:v>1</x:v>
      </x:c>
      <x:c r="G733" t="n">
        <x:f>--AND(A733+'Calculator'!$B$6&gt;=15,B733+'Calculator'!$B$6&gt;=15,C733+'Calculator'!$B$6&gt;=15)</x:f>
        <x:v>0</x:v>
      </x:c>
      <x:c r="H733" t="n">
        <x:f>--AND(F733=1,D733='Calculator'!$B$4)</x:f>
        <x:v>0</x:v>
      </x:c>
      <x:c r="I733" t="n">
        <x:f>--AND(H733=1,G733=1)</x:f>
        <x:v>0</x:v>
      </x:c>
      <x:c r="J733" t="n">
        <x:f>--AND(F733=1,E733='Calculator'!$B$4)</x:f>
        <x:v>0</x:v>
      </x:c>
      <x:c r="K733" t="n">
        <x:f>--AND(J733=1,G733=1)</x:f>
        <x:v>0</x:v>
      </x:c>
      <x:c r="L733" t="str">
        <x:f>A733&amp;"/"&amp;B733&amp;"/"&amp;C733</x:f>
        <x:v>13/9/7</x:v>
      </x:c>
      <x:c r="M733" t="str">
        <x:f>MIN(15,A733+'Calculator'!$B$6)&amp;"/"&amp;MIN(15,B733+'Calculator'!$B$6)&amp;"/"&amp;MIN(15,C733+'Calculator'!$B$6)</x:f>
        <x:v>15/11/9</x:v>
      </x:c>
    </x:row>
    <x:row r="734">
      <x:c r="A734" t="n">
        <x:v>13</x:v>
      </x:c>
      <x:c r="B734" t="n">
        <x:v>9</x:v>
      </x:c>
      <x:c r="C734" t="n">
        <x:v>8</x:v>
      </x:c>
      <x:c r="D734" t="n">
        <x:f>MAX(10,ROUNDDOWN((('Calculator'!$B$10+A734)*SQRT('Calculator'!$B$11+B734)*SQRT('Calculator'!$B$12+C734)*0.59740001^2)/10,0))</x:f>
        <x:v>2300</x:v>
      </x:c>
      <x:c r="E734" t="n">
        <x:f>MAX(10,ROUNDDOWN((('Calculator'!$B$10+A734)*SQRT('Calculator'!$B$11+B734)*SQRT('Calculator'!$B$12+C734)*0.667934^2)/10,0))</x:f>
        <x:v>2875</x:v>
      </x:c>
      <x:c r="F734" t="n">
        <x:f>--AND(A734&gt;='Calculator'!$B$5,B734&gt;='Calculator'!$B$5,C734&gt;='Calculator'!$B$5)</x:f>
        <x:v>1</x:v>
      </x:c>
      <x:c r="G734" t="n">
        <x:f>--AND(A734+'Calculator'!$B$6&gt;=15,B734+'Calculator'!$B$6&gt;=15,C734+'Calculator'!$B$6&gt;=15)</x:f>
        <x:v>0</x:v>
      </x:c>
      <x:c r="H734" t="n">
        <x:f>--AND(F734=1,D734='Calculator'!$B$4)</x:f>
        <x:v>0</x:v>
      </x:c>
      <x:c r="I734" t="n">
        <x:f>--AND(H734=1,G734=1)</x:f>
        <x:v>0</x:v>
      </x:c>
      <x:c r="J734" t="n">
        <x:f>--AND(F734=1,E734='Calculator'!$B$4)</x:f>
        <x:v>0</x:v>
      </x:c>
      <x:c r="K734" t="n">
        <x:f>--AND(J734=1,G734=1)</x:f>
        <x:v>0</x:v>
      </x:c>
      <x:c r="L734" t="str">
        <x:f>A734&amp;"/"&amp;B734&amp;"/"&amp;C734</x:f>
        <x:v>13/9/8</x:v>
      </x:c>
      <x:c r="M734" t="str">
        <x:f>MIN(15,A734+'Calculator'!$B$6)&amp;"/"&amp;MIN(15,B734+'Calculator'!$B$6)&amp;"/"&amp;MIN(15,C734+'Calculator'!$B$6)</x:f>
        <x:v>15/11/10</x:v>
      </x:c>
    </x:row>
    <x:row r="735">
      <x:c r="A735" t="n">
        <x:v>13</x:v>
      </x:c>
      <x:c r="B735" t="n">
        <x:v>9</x:v>
      </x:c>
      <x:c r="C735" t="n">
        <x:v>9</x:v>
      </x:c>
      <x:c r="D735" t="n">
        <x:f>MAX(10,ROUNDDOWN((('Calculator'!$B$10+A735)*SQRT('Calculator'!$B$11+B735)*SQRT('Calculator'!$B$12+C735)*0.59740001^2)/10,0))</x:f>
        <x:v>2305</x:v>
      </x:c>
      <x:c r="E735" t="n">
        <x:f>MAX(10,ROUNDDOWN((('Calculator'!$B$10+A735)*SQRT('Calculator'!$B$11+B735)*SQRT('Calculator'!$B$12+C735)*0.667934^2)/10,0))</x:f>
        <x:v>2881</x:v>
      </x:c>
      <x:c r="F735" t="n">
        <x:f>--AND(A735&gt;='Calculator'!$B$5,B735&gt;='Calculator'!$B$5,C735&gt;='Calculator'!$B$5)</x:f>
        <x:v>1</x:v>
      </x:c>
      <x:c r="G735" t="n">
        <x:f>--AND(A735+'Calculator'!$B$6&gt;=15,B735+'Calculator'!$B$6&gt;=15,C735+'Calculator'!$B$6&gt;=15)</x:f>
        <x:v>0</x:v>
      </x:c>
      <x:c r="H735" t="n">
        <x:f>--AND(F735=1,D735='Calculator'!$B$4)</x:f>
        <x:v>0</x:v>
      </x:c>
      <x:c r="I735" t="n">
        <x:f>--AND(H735=1,G735=1)</x:f>
        <x:v>0</x:v>
      </x:c>
      <x:c r="J735" t="n">
        <x:f>--AND(F735=1,E735='Calculator'!$B$4)</x:f>
        <x:v>0</x:v>
      </x:c>
      <x:c r="K735" t="n">
        <x:f>--AND(J735=1,G735=1)</x:f>
        <x:v>0</x:v>
      </x:c>
      <x:c r="L735" t="str">
        <x:f>A735&amp;"/"&amp;B735&amp;"/"&amp;C735</x:f>
        <x:v>13/9/9</x:v>
      </x:c>
      <x:c r="M735" t="str">
        <x:f>MIN(15,A735+'Calculator'!$B$6)&amp;"/"&amp;MIN(15,B735+'Calculator'!$B$6)&amp;"/"&amp;MIN(15,C735+'Calculator'!$B$6)</x:f>
        <x:v>15/11/11</x:v>
      </x:c>
    </x:row>
    <x:row r="736">
      <x:c r="A736" t="n">
        <x:v>13</x:v>
      </x:c>
      <x:c r="B736" t="n">
        <x:v>9</x:v>
      </x:c>
      <x:c r="C736" t="n">
        <x:v>10</x:v>
      </x:c>
      <x:c r="D736" t="n">
        <x:f>MAX(10,ROUNDDOWN((('Calculator'!$B$10+A736)*SQRT('Calculator'!$B$11+B736)*SQRT('Calculator'!$B$12+C736)*0.59740001^2)/10,0))</x:f>
        <x:v>2310</x:v>
      </x:c>
      <x:c r="E736" t="n">
        <x:f>MAX(10,ROUNDDOWN((('Calculator'!$B$10+A736)*SQRT('Calculator'!$B$11+B736)*SQRT('Calculator'!$B$12+C736)*0.667934^2)/10,0))</x:f>
        <x:v>2888</x:v>
      </x:c>
      <x:c r="F736" t="n">
        <x:f>--AND(A736&gt;='Calculator'!$B$5,B736&gt;='Calculator'!$B$5,C736&gt;='Calculator'!$B$5)</x:f>
        <x:v>1</x:v>
      </x:c>
      <x:c r="G736" t="n">
        <x:f>--AND(A736+'Calculator'!$B$6&gt;=15,B736+'Calculator'!$B$6&gt;=15,C736+'Calculator'!$B$6&gt;=15)</x:f>
        <x:v>0</x:v>
      </x:c>
      <x:c r="H736" t="n">
        <x:f>--AND(F736=1,D736='Calculator'!$B$4)</x:f>
        <x:v>0</x:v>
      </x:c>
      <x:c r="I736" t="n">
        <x:f>--AND(H736=1,G736=1)</x:f>
        <x:v>0</x:v>
      </x:c>
      <x:c r="J736" t="n">
        <x:f>--AND(F736=1,E736='Calculator'!$B$4)</x:f>
        <x:v>0</x:v>
      </x:c>
      <x:c r="K736" t="n">
        <x:f>--AND(J736=1,G736=1)</x:f>
        <x:v>0</x:v>
      </x:c>
      <x:c r="L736" t="str">
        <x:f>A736&amp;"/"&amp;B736&amp;"/"&amp;C736</x:f>
        <x:v>13/9/10</x:v>
      </x:c>
      <x:c r="M736" t="str">
        <x:f>MIN(15,A736+'Calculator'!$B$6)&amp;"/"&amp;MIN(15,B736+'Calculator'!$B$6)&amp;"/"&amp;MIN(15,C736+'Calculator'!$B$6)</x:f>
        <x:v>15/11/12</x:v>
      </x:c>
    </x:row>
    <x:row r="737">
      <x:c r="A737" t="n">
        <x:v>13</x:v>
      </x:c>
      <x:c r="B737" t="n">
        <x:v>9</x:v>
      </x:c>
      <x:c r="C737" t="n">
        <x:v>11</x:v>
      </x:c>
      <x:c r="D737" t="n">
        <x:f>MAX(10,ROUNDDOWN((('Calculator'!$B$10+A737)*SQRT('Calculator'!$B$11+B737)*SQRT('Calculator'!$B$12+C737)*0.59740001^2)/10,0))</x:f>
        <x:v>2315</x:v>
      </x:c>
      <x:c r="E737" t="n">
        <x:f>MAX(10,ROUNDDOWN((('Calculator'!$B$10+A737)*SQRT('Calculator'!$B$11+B737)*SQRT('Calculator'!$B$12+C737)*0.667934^2)/10,0))</x:f>
        <x:v>2894</x:v>
      </x:c>
      <x:c r="F737" t="n">
        <x:f>--AND(A737&gt;='Calculator'!$B$5,B737&gt;='Calculator'!$B$5,C737&gt;='Calculator'!$B$5)</x:f>
        <x:v>1</x:v>
      </x:c>
      <x:c r="G737" t="n">
        <x:f>--AND(A737+'Calculator'!$B$6&gt;=15,B737+'Calculator'!$B$6&gt;=15,C737+'Calculator'!$B$6&gt;=15)</x:f>
        <x:v>0</x:v>
      </x:c>
      <x:c r="H737" t="n">
        <x:f>--AND(F737=1,D737='Calculator'!$B$4)</x:f>
        <x:v>0</x:v>
      </x:c>
      <x:c r="I737" t="n">
        <x:f>--AND(H737=1,G737=1)</x:f>
        <x:v>0</x:v>
      </x:c>
      <x:c r="J737" t="n">
        <x:f>--AND(F737=1,E737='Calculator'!$B$4)</x:f>
        <x:v>0</x:v>
      </x:c>
      <x:c r="K737" t="n">
        <x:f>--AND(J737=1,G737=1)</x:f>
        <x:v>0</x:v>
      </x:c>
      <x:c r="L737" t="str">
        <x:f>A737&amp;"/"&amp;B737&amp;"/"&amp;C737</x:f>
        <x:v>13/9/11</x:v>
      </x:c>
      <x:c r="M737" t="str">
        <x:f>MIN(15,A737+'Calculator'!$B$6)&amp;"/"&amp;MIN(15,B737+'Calculator'!$B$6)&amp;"/"&amp;MIN(15,C737+'Calculator'!$B$6)</x:f>
        <x:v>15/11/13</x:v>
      </x:c>
    </x:row>
    <x:row r="738">
      <x:c r="A738" t="n">
        <x:v>13</x:v>
      </x:c>
      <x:c r="B738" t="n">
        <x:v>9</x:v>
      </x:c>
      <x:c r="C738" t="n">
        <x:v>12</x:v>
      </x:c>
      <x:c r="D738" t="n">
        <x:f>MAX(10,ROUNDDOWN((('Calculator'!$B$10+A738)*SQRT('Calculator'!$B$11+B738)*SQRT('Calculator'!$B$12+C738)*0.59740001^2)/10,0))</x:f>
        <x:v>2320</x:v>
      </x:c>
      <x:c r="E738" t="n">
        <x:f>MAX(10,ROUNDDOWN((('Calculator'!$B$10+A738)*SQRT('Calculator'!$B$11+B738)*SQRT('Calculator'!$B$12+C738)*0.667934^2)/10,0))</x:f>
        <x:v>2901</x:v>
      </x:c>
      <x:c r="F738" t="n">
        <x:f>--AND(A738&gt;='Calculator'!$B$5,B738&gt;='Calculator'!$B$5,C738&gt;='Calculator'!$B$5)</x:f>
        <x:v>1</x:v>
      </x:c>
      <x:c r="G738" t="n">
        <x:f>--AND(A738+'Calculator'!$B$6&gt;=15,B738+'Calculator'!$B$6&gt;=15,C738+'Calculator'!$B$6&gt;=15)</x:f>
        <x:v>0</x:v>
      </x:c>
      <x:c r="H738" t="n">
        <x:f>--AND(F738=1,D738='Calculator'!$B$4)</x:f>
        <x:v>0</x:v>
      </x:c>
      <x:c r="I738" t="n">
        <x:f>--AND(H738=1,G738=1)</x:f>
        <x:v>0</x:v>
      </x:c>
      <x:c r="J738" t="n">
        <x:f>--AND(F738=1,E738='Calculator'!$B$4)</x:f>
        <x:v>0</x:v>
      </x:c>
      <x:c r="K738" t="n">
        <x:f>--AND(J738=1,G738=1)</x:f>
        <x:v>0</x:v>
      </x:c>
      <x:c r="L738" t="str">
        <x:f>A738&amp;"/"&amp;B738&amp;"/"&amp;C738</x:f>
        <x:v>13/9/12</x:v>
      </x:c>
      <x:c r="M738" t="str">
        <x:f>MIN(15,A738+'Calculator'!$B$6)&amp;"/"&amp;MIN(15,B738+'Calculator'!$B$6)&amp;"/"&amp;MIN(15,C738+'Calculator'!$B$6)</x:f>
        <x:v>15/11/14</x:v>
      </x:c>
    </x:row>
    <x:row r="739">
      <x:c r="A739" t="n">
        <x:v>13</x:v>
      </x:c>
      <x:c r="B739" t="n">
        <x:v>9</x:v>
      </x:c>
      <x:c r="C739" t="n">
        <x:v>13</x:v>
      </x:c>
      <x:c r="D739" t="n">
        <x:f>MAX(10,ROUNDDOWN((('Calculator'!$B$10+A739)*SQRT('Calculator'!$B$11+B739)*SQRT('Calculator'!$B$12+C739)*0.59740001^2)/10,0))</x:f>
        <x:v>2325</x:v>
      </x:c>
      <x:c r="E739" t="n">
        <x:f>MAX(10,ROUNDDOWN((('Calculator'!$B$10+A739)*SQRT('Calculator'!$B$11+B739)*SQRT('Calculator'!$B$12+C739)*0.667934^2)/10,0))</x:f>
        <x:v>2907</x:v>
      </x:c>
      <x:c r="F739" t="n">
        <x:f>--AND(A739&gt;='Calculator'!$B$5,B739&gt;='Calculator'!$B$5,C739&gt;='Calculator'!$B$5)</x:f>
        <x:v>1</x:v>
      </x:c>
      <x:c r="G739" t="n">
        <x:f>--AND(A739+'Calculator'!$B$6&gt;=15,B739+'Calculator'!$B$6&gt;=15,C739+'Calculator'!$B$6&gt;=15)</x:f>
        <x:v>0</x:v>
      </x:c>
      <x:c r="H739" t="n">
        <x:f>--AND(F739=1,D739='Calculator'!$B$4)</x:f>
        <x:v>0</x:v>
      </x:c>
      <x:c r="I739" t="n">
        <x:f>--AND(H739=1,G739=1)</x:f>
        <x:v>0</x:v>
      </x:c>
      <x:c r="J739" t="n">
        <x:f>--AND(F739=1,E739='Calculator'!$B$4)</x:f>
        <x:v>0</x:v>
      </x:c>
      <x:c r="K739" t="n">
        <x:f>--AND(J739=1,G739=1)</x:f>
        <x:v>0</x:v>
      </x:c>
      <x:c r="L739" t="str">
        <x:f>A739&amp;"/"&amp;B739&amp;"/"&amp;C739</x:f>
        <x:v>13/9/13</x:v>
      </x:c>
      <x:c r="M739" t="str">
        <x:f>MIN(15,A739+'Calculator'!$B$6)&amp;"/"&amp;MIN(15,B739+'Calculator'!$B$6)&amp;"/"&amp;MIN(15,C739+'Calculator'!$B$6)</x:f>
        <x:v>15/11/15</x:v>
      </x:c>
    </x:row>
    <x:row r="740">
      <x:c r="A740" t="n">
        <x:v>13</x:v>
      </x:c>
      <x:c r="B740" t="n">
        <x:v>9</x:v>
      </x:c>
      <x:c r="C740" t="n">
        <x:v>14</x:v>
      </x:c>
      <x:c r="D740" t="n">
        <x:f>MAX(10,ROUNDDOWN((('Calculator'!$B$10+A740)*SQRT('Calculator'!$B$11+B740)*SQRT('Calculator'!$B$12+C740)*0.59740001^2)/10,0))</x:f>
        <x:v>2331</x:v>
      </x:c>
      <x:c r="E740" t="n">
        <x:f>MAX(10,ROUNDDOWN((('Calculator'!$B$10+A740)*SQRT('Calculator'!$B$11+B740)*SQRT('Calculator'!$B$12+C740)*0.667934^2)/10,0))</x:f>
        <x:v>2914</x:v>
      </x:c>
      <x:c r="F740" t="n">
        <x:f>--AND(A740&gt;='Calculator'!$B$5,B740&gt;='Calculator'!$B$5,C740&gt;='Calculator'!$B$5)</x:f>
        <x:v>1</x:v>
      </x:c>
      <x:c r="G740" t="n">
        <x:f>--AND(A740+'Calculator'!$B$6&gt;=15,B740+'Calculator'!$B$6&gt;=15,C740+'Calculator'!$B$6&gt;=15)</x:f>
        <x:v>0</x:v>
      </x:c>
      <x:c r="H740" t="n">
        <x:f>--AND(F740=1,D740='Calculator'!$B$4)</x:f>
        <x:v>0</x:v>
      </x:c>
      <x:c r="I740" t="n">
        <x:f>--AND(H740=1,G740=1)</x:f>
        <x:v>0</x:v>
      </x:c>
      <x:c r="J740" t="n">
        <x:f>--AND(F740=1,E740='Calculator'!$B$4)</x:f>
        <x:v>0</x:v>
      </x:c>
      <x:c r="K740" t="n">
        <x:f>--AND(J740=1,G740=1)</x:f>
        <x:v>0</x:v>
      </x:c>
      <x:c r="L740" t="str">
        <x:f>A740&amp;"/"&amp;B740&amp;"/"&amp;C740</x:f>
        <x:v>13/9/14</x:v>
      </x:c>
      <x:c r="M740" t="str">
        <x:f>MIN(15,A740+'Calculator'!$B$6)&amp;"/"&amp;MIN(15,B740+'Calculator'!$B$6)&amp;"/"&amp;MIN(15,C740+'Calculator'!$B$6)</x:f>
        <x:v>15/11/15</x:v>
      </x:c>
    </x:row>
    <x:row r="741">
      <x:c r="A741" t="n">
        <x:v>13</x:v>
      </x:c>
      <x:c r="B741" t="n">
        <x:v>9</x:v>
      </x:c>
      <x:c r="C741" t="n">
        <x:v>15</x:v>
      </x:c>
      <x:c r="D741" t="n">
        <x:f>MAX(10,ROUNDDOWN((('Calculator'!$B$10+A741)*SQRT('Calculator'!$B$11+B741)*SQRT('Calculator'!$B$12+C741)*0.59740001^2)/10,0))</x:f>
        <x:v>2336</x:v>
      </x:c>
      <x:c r="E741" t="n">
        <x:f>MAX(10,ROUNDDOWN((('Calculator'!$B$10+A741)*SQRT('Calculator'!$B$11+B741)*SQRT('Calculator'!$B$12+C741)*0.667934^2)/10,0))</x:f>
        <x:v>2920</x:v>
      </x:c>
      <x:c r="F741" t="n">
        <x:f>--AND(A741&gt;='Calculator'!$B$5,B741&gt;='Calculator'!$B$5,C741&gt;='Calculator'!$B$5)</x:f>
        <x:v>1</x:v>
      </x:c>
      <x:c r="G741" t="n">
        <x:f>--AND(A741+'Calculator'!$B$6&gt;=15,B741+'Calculator'!$B$6&gt;=15,C741+'Calculator'!$B$6&gt;=15)</x:f>
        <x:v>0</x:v>
      </x:c>
      <x:c r="H741" t="n">
        <x:f>--AND(F741=1,D741='Calculator'!$B$4)</x:f>
        <x:v>0</x:v>
      </x:c>
      <x:c r="I741" t="n">
        <x:f>--AND(H741=1,G741=1)</x:f>
        <x:v>0</x:v>
      </x:c>
      <x:c r="J741" t="n">
        <x:f>--AND(F741=1,E741='Calculator'!$B$4)</x:f>
        <x:v>0</x:v>
      </x:c>
      <x:c r="K741" t="n">
        <x:f>--AND(J741=1,G741=1)</x:f>
        <x:v>0</x:v>
      </x:c>
      <x:c r="L741" t="str">
        <x:f>A741&amp;"/"&amp;B741&amp;"/"&amp;C741</x:f>
        <x:v>13/9/15</x:v>
      </x:c>
      <x:c r="M741" t="str">
        <x:f>MIN(15,A741+'Calculator'!$B$6)&amp;"/"&amp;MIN(15,B741+'Calculator'!$B$6)&amp;"/"&amp;MIN(15,C741+'Calculator'!$B$6)</x:f>
        <x:v>15/11/15</x:v>
      </x:c>
    </x:row>
    <x:row r="742">
      <x:c r="A742" t="n">
        <x:v>13</x:v>
      </x:c>
      <x:c r="B742" t="n">
        <x:v>10</x:v>
      </x:c>
      <x:c r="C742" t="n">
        <x:v>6</x:v>
      </x:c>
      <x:c r="D742" t="n">
        <x:f>MAX(10,ROUNDDOWN((('Calculator'!$B$10+A742)*SQRT('Calculator'!$B$11+B742)*SQRT('Calculator'!$B$12+C742)*0.59740001^2)/10,0))</x:f>
        <x:v>2295</x:v>
      </x:c>
      <x:c r="E742" t="n">
        <x:f>MAX(10,ROUNDDOWN((('Calculator'!$B$10+A742)*SQRT('Calculator'!$B$11+B742)*SQRT('Calculator'!$B$12+C742)*0.667934^2)/10,0))</x:f>
        <x:v>2869</x:v>
      </x:c>
      <x:c r="F742" t="n">
        <x:f>--AND(A742&gt;='Calculator'!$B$5,B742&gt;='Calculator'!$B$5,C742&gt;='Calculator'!$B$5)</x:f>
        <x:v>1</x:v>
      </x:c>
      <x:c r="G742" t="n">
        <x:f>--AND(A742+'Calculator'!$B$6&gt;=15,B742+'Calculator'!$B$6&gt;=15,C742+'Calculator'!$B$6&gt;=15)</x:f>
        <x:v>0</x:v>
      </x:c>
      <x:c r="H742" t="n">
        <x:f>--AND(F742=1,D742='Calculator'!$B$4)</x:f>
        <x:v>0</x:v>
      </x:c>
      <x:c r="I742" t="n">
        <x:f>--AND(H742=1,G742=1)</x:f>
        <x:v>0</x:v>
      </x:c>
      <x:c r="J742" t="n">
        <x:f>--AND(F742=1,E742='Calculator'!$B$4)</x:f>
        <x:v>0</x:v>
      </x:c>
      <x:c r="K742" t="n">
        <x:f>--AND(J742=1,G742=1)</x:f>
        <x:v>0</x:v>
      </x:c>
      <x:c r="L742" t="str">
        <x:f>A742&amp;"/"&amp;B742&amp;"/"&amp;C742</x:f>
        <x:v>13/10/6</x:v>
      </x:c>
      <x:c r="M742" t="str">
        <x:f>MIN(15,A742+'Calculator'!$B$6)&amp;"/"&amp;MIN(15,B742+'Calculator'!$B$6)&amp;"/"&amp;MIN(15,C742+'Calculator'!$B$6)</x:f>
        <x:v>15/12/8</x:v>
      </x:c>
    </x:row>
    <x:row r="743">
      <x:c r="A743" t="n">
        <x:v>13</x:v>
      </x:c>
      <x:c r="B743" t="n">
        <x:v>10</x:v>
      </x:c>
      <x:c r="C743" t="n">
        <x:v>7</x:v>
      </x:c>
      <x:c r="D743" t="n">
        <x:f>MAX(10,ROUNDDOWN((('Calculator'!$B$10+A743)*SQRT('Calculator'!$B$11+B743)*SQRT('Calculator'!$B$12+C743)*0.59740001^2)/10,0))</x:f>
        <x:v>2301</x:v>
      </x:c>
      <x:c r="E743" t="n">
        <x:f>MAX(10,ROUNDDOWN((('Calculator'!$B$10+A743)*SQRT('Calculator'!$B$11+B743)*SQRT('Calculator'!$B$12+C743)*0.667934^2)/10,0))</x:f>
        <x:v>2876</x:v>
      </x:c>
      <x:c r="F743" t="n">
        <x:f>--AND(A743&gt;='Calculator'!$B$5,B743&gt;='Calculator'!$B$5,C743&gt;='Calculator'!$B$5)</x:f>
        <x:v>1</x:v>
      </x:c>
      <x:c r="G743" t="n">
        <x:f>--AND(A743+'Calculator'!$B$6&gt;=15,B743+'Calculator'!$B$6&gt;=15,C743+'Calculator'!$B$6&gt;=15)</x:f>
        <x:v>0</x:v>
      </x:c>
      <x:c r="H743" t="n">
        <x:f>--AND(F743=1,D743='Calculator'!$B$4)</x:f>
        <x:v>0</x:v>
      </x:c>
      <x:c r="I743" t="n">
        <x:f>--AND(H743=1,G743=1)</x:f>
        <x:v>0</x:v>
      </x:c>
      <x:c r="J743" t="n">
        <x:f>--AND(F743=1,E743='Calculator'!$B$4)</x:f>
        <x:v>0</x:v>
      </x:c>
      <x:c r="K743" t="n">
        <x:f>--AND(J743=1,G743=1)</x:f>
        <x:v>0</x:v>
      </x:c>
      <x:c r="L743" t="str">
        <x:f>A743&amp;"/"&amp;B743&amp;"/"&amp;C743</x:f>
        <x:v>13/10/7</x:v>
      </x:c>
      <x:c r="M743" t="str">
        <x:f>MIN(15,A743+'Calculator'!$B$6)&amp;"/"&amp;MIN(15,B743+'Calculator'!$B$6)&amp;"/"&amp;MIN(15,C743+'Calculator'!$B$6)</x:f>
        <x:v>15/12/9</x:v>
      </x:c>
    </x:row>
    <x:row r="744">
      <x:c r="A744" t="n">
        <x:v>13</x:v>
      </x:c>
      <x:c r="B744" t="n">
        <x:v>10</x:v>
      </x:c>
      <x:c r="C744" t="n">
        <x:v>8</x:v>
      </x:c>
      <x:c r="D744" t="n">
        <x:f>MAX(10,ROUNDDOWN((('Calculator'!$B$10+A744)*SQRT('Calculator'!$B$11+B744)*SQRT('Calculator'!$B$12+C744)*0.59740001^2)/10,0))</x:f>
        <x:v>2306</x:v>
      </x:c>
      <x:c r="E744" t="n">
        <x:f>MAX(10,ROUNDDOWN((('Calculator'!$B$10+A744)*SQRT('Calculator'!$B$11+B744)*SQRT('Calculator'!$B$12+C744)*0.667934^2)/10,0))</x:f>
        <x:v>2882</x:v>
      </x:c>
      <x:c r="F744" t="n">
        <x:f>--AND(A744&gt;='Calculator'!$B$5,B744&gt;='Calculator'!$B$5,C744&gt;='Calculator'!$B$5)</x:f>
        <x:v>1</x:v>
      </x:c>
      <x:c r="G744" t="n">
        <x:f>--AND(A744+'Calculator'!$B$6&gt;=15,B744+'Calculator'!$B$6&gt;=15,C744+'Calculator'!$B$6&gt;=15)</x:f>
        <x:v>0</x:v>
      </x:c>
      <x:c r="H744" t="n">
        <x:f>--AND(F744=1,D744='Calculator'!$B$4)</x:f>
        <x:v>0</x:v>
      </x:c>
      <x:c r="I744" t="n">
        <x:f>--AND(H744=1,G744=1)</x:f>
        <x:v>0</x:v>
      </x:c>
      <x:c r="J744" t="n">
        <x:f>--AND(F744=1,E744='Calculator'!$B$4)</x:f>
        <x:v>0</x:v>
      </x:c>
      <x:c r="K744" t="n">
        <x:f>--AND(J744=1,G744=1)</x:f>
        <x:v>0</x:v>
      </x:c>
      <x:c r="L744" t="str">
        <x:f>A744&amp;"/"&amp;B744&amp;"/"&amp;C744</x:f>
        <x:v>13/10/8</x:v>
      </x:c>
      <x:c r="M744" t="str">
        <x:f>MIN(15,A744+'Calculator'!$B$6)&amp;"/"&amp;MIN(15,B744+'Calculator'!$B$6)&amp;"/"&amp;MIN(15,C744+'Calculator'!$B$6)</x:f>
        <x:v>15/12/10</x:v>
      </x:c>
    </x:row>
    <x:row r="745">
      <x:c r="A745" t="n">
        <x:v>13</x:v>
      </x:c>
      <x:c r="B745" t="n">
        <x:v>10</x:v>
      </x:c>
      <x:c r="C745" t="n">
        <x:v>9</x:v>
      </x:c>
      <x:c r="D745" t="n">
        <x:f>MAX(10,ROUNDDOWN((('Calculator'!$B$10+A745)*SQRT('Calculator'!$B$11+B745)*SQRT('Calculator'!$B$12+C745)*0.59740001^2)/10,0))</x:f>
        <x:v>2311</x:v>
      </x:c>
      <x:c r="E745" t="n">
        <x:f>MAX(10,ROUNDDOWN((('Calculator'!$B$10+A745)*SQRT('Calculator'!$B$11+B745)*SQRT('Calculator'!$B$12+C745)*0.667934^2)/10,0))</x:f>
        <x:v>2889</x:v>
      </x:c>
      <x:c r="F745" t="n">
        <x:f>--AND(A745&gt;='Calculator'!$B$5,B745&gt;='Calculator'!$B$5,C745&gt;='Calculator'!$B$5)</x:f>
        <x:v>1</x:v>
      </x:c>
      <x:c r="G745" t="n">
        <x:f>--AND(A745+'Calculator'!$B$6&gt;=15,B745+'Calculator'!$B$6&gt;=15,C745+'Calculator'!$B$6&gt;=15)</x:f>
        <x:v>0</x:v>
      </x:c>
      <x:c r="H745" t="n">
        <x:f>--AND(F745=1,D745='Calculator'!$B$4)</x:f>
        <x:v>0</x:v>
      </x:c>
      <x:c r="I745" t="n">
        <x:f>--AND(H745=1,G745=1)</x:f>
        <x:v>0</x:v>
      </x:c>
      <x:c r="J745" t="n">
        <x:f>--AND(F745=1,E745='Calculator'!$B$4)</x:f>
        <x:v>0</x:v>
      </x:c>
      <x:c r="K745" t="n">
        <x:f>--AND(J745=1,G745=1)</x:f>
        <x:v>0</x:v>
      </x:c>
      <x:c r="L745" t="str">
        <x:f>A745&amp;"/"&amp;B745&amp;"/"&amp;C745</x:f>
        <x:v>13/10/9</x:v>
      </x:c>
      <x:c r="M745" t="str">
        <x:f>MIN(15,A745+'Calculator'!$B$6)&amp;"/"&amp;MIN(15,B745+'Calculator'!$B$6)&amp;"/"&amp;MIN(15,C745+'Calculator'!$B$6)</x:f>
        <x:v>15/12/11</x:v>
      </x:c>
    </x:row>
    <x:row r="746">
      <x:c r="A746" t="n">
        <x:v>13</x:v>
      </x:c>
      <x:c r="B746" t="n">
        <x:v>10</x:v>
      </x:c>
      <x:c r="C746" t="n">
        <x:v>10</x:v>
      </x:c>
      <x:c r="D746" t="n">
        <x:f>MAX(10,ROUNDDOWN((('Calculator'!$B$10+A746)*SQRT('Calculator'!$B$11+B746)*SQRT('Calculator'!$B$12+C746)*0.59740001^2)/10,0))</x:f>
        <x:v>2316</x:v>
      </x:c>
      <x:c r="E746" t="n">
        <x:f>MAX(10,ROUNDDOWN((('Calculator'!$B$10+A746)*SQRT('Calculator'!$B$11+B746)*SQRT('Calculator'!$B$12+C746)*0.667934^2)/10,0))</x:f>
        <x:v>2895</x:v>
      </x:c>
      <x:c r="F746" t="n">
        <x:f>--AND(A746&gt;='Calculator'!$B$5,B746&gt;='Calculator'!$B$5,C746&gt;='Calculator'!$B$5)</x:f>
        <x:v>1</x:v>
      </x:c>
      <x:c r="G746" t="n">
        <x:f>--AND(A746+'Calculator'!$B$6&gt;=15,B746+'Calculator'!$B$6&gt;=15,C746+'Calculator'!$B$6&gt;=15)</x:f>
        <x:v>0</x:v>
      </x:c>
      <x:c r="H746" t="n">
        <x:f>--AND(F746=1,D746='Calculator'!$B$4)</x:f>
        <x:v>0</x:v>
      </x:c>
      <x:c r="I746" t="n">
        <x:f>--AND(H746=1,G746=1)</x:f>
        <x:v>0</x:v>
      </x:c>
      <x:c r="J746" t="n">
        <x:f>--AND(F746=1,E746='Calculator'!$B$4)</x:f>
        <x:v>0</x:v>
      </x:c>
      <x:c r="K746" t="n">
        <x:f>--AND(J746=1,G746=1)</x:f>
        <x:v>0</x:v>
      </x:c>
      <x:c r="L746" t="str">
        <x:f>A746&amp;"/"&amp;B746&amp;"/"&amp;C746</x:f>
        <x:v>13/10/10</x:v>
      </x:c>
      <x:c r="M746" t="str">
        <x:f>MIN(15,A746+'Calculator'!$B$6)&amp;"/"&amp;MIN(15,B746+'Calculator'!$B$6)&amp;"/"&amp;MIN(15,C746+'Calculator'!$B$6)</x:f>
        <x:v>15/12/12</x:v>
      </x:c>
    </x:row>
    <x:row r="747">
      <x:c r="A747" t="n">
        <x:v>13</x:v>
      </x:c>
      <x:c r="B747" t="n">
        <x:v>10</x:v>
      </x:c>
      <x:c r="C747" t="n">
        <x:v>11</x:v>
      </x:c>
      <x:c r="D747" t="n">
        <x:f>MAX(10,ROUNDDOWN((('Calculator'!$B$10+A747)*SQRT('Calculator'!$B$11+B747)*SQRT('Calculator'!$B$12+C747)*0.59740001^2)/10,0))</x:f>
        <x:v>2321</x:v>
      </x:c>
      <x:c r="E747" t="n">
        <x:f>MAX(10,ROUNDDOWN((('Calculator'!$B$10+A747)*SQRT('Calculator'!$B$11+B747)*SQRT('Calculator'!$B$12+C747)*0.667934^2)/10,0))</x:f>
        <x:v>2902</x:v>
      </x:c>
      <x:c r="F747" t="n">
        <x:f>--AND(A747&gt;='Calculator'!$B$5,B747&gt;='Calculator'!$B$5,C747&gt;='Calculator'!$B$5)</x:f>
        <x:v>1</x:v>
      </x:c>
      <x:c r="G747" t="n">
        <x:f>--AND(A747+'Calculator'!$B$6&gt;=15,B747+'Calculator'!$B$6&gt;=15,C747+'Calculator'!$B$6&gt;=15)</x:f>
        <x:v>0</x:v>
      </x:c>
      <x:c r="H747" t="n">
        <x:f>--AND(F747=1,D747='Calculator'!$B$4)</x:f>
        <x:v>0</x:v>
      </x:c>
      <x:c r="I747" t="n">
        <x:f>--AND(H747=1,G747=1)</x:f>
        <x:v>0</x:v>
      </x:c>
      <x:c r="J747" t="n">
        <x:f>--AND(F747=1,E747='Calculator'!$B$4)</x:f>
        <x:v>0</x:v>
      </x:c>
      <x:c r="K747" t="n">
        <x:f>--AND(J747=1,G747=1)</x:f>
        <x:v>0</x:v>
      </x:c>
      <x:c r="L747" t="str">
        <x:f>A747&amp;"/"&amp;B747&amp;"/"&amp;C747</x:f>
        <x:v>13/10/11</x:v>
      </x:c>
      <x:c r="M747" t="str">
        <x:f>MIN(15,A747+'Calculator'!$B$6)&amp;"/"&amp;MIN(15,B747+'Calculator'!$B$6)&amp;"/"&amp;MIN(15,C747+'Calculator'!$B$6)</x:f>
        <x:v>15/12/13</x:v>
      </x:c>
    </x:row>
    <x:row r="748">
      <x:c r="A748" t="n">
        <x:v>13</x:v>
      </x:c>
      <x:c r="B748" t="n">
        <x:v>10</x:v>
      </x:c>
      <x:c r="C748" t="n">
        <x:v>12</x:v>
      </x:c>
      <x:c r="D748" t="n">
        <x:f>MAX(10,ROUNDDOWN((('Calculator'!$B$10+A748)*SQRT('Calculator'!$B$11+B748)*SQRT('Calculator'!$B$12+C748)*0.59740001^2)/10,0))</x:f>
        <x:v>2326</x:v>
      </x:c>
      <x:c r="E748" t="n">
        <x:f>MAX(10,ROUNDDOWN((('Calculator'!$B$10+A748)*SQRT('Calculator'!$B$11+B748)*SQRT('Calculator'!$B$12+C748)*0.667934^2)/10,0))</x:f>
        <x:v>2908</x:v>
      </x:c>
      <x:c r="F748" t="n">
        <x:f>--AND(A748&gt;='Calculator'!$B$5,B748&gt;='Calculator'!$B$5,C748&gt;='Calculator'!$B$5)</x:f>
        <x:v>1</x:v>
      </x:c>
      <x:c r="G748" t="n">
        <x:f>--AND(A748+'Calculator'!$B$6&gt;=15,B748+'Calculator'!$B$6&gt;=15,C748+'Calculator'!$B$6&gt;=15)</x:f>
        <x:v>0</x:v>
      </x:c>
      <x:c r="H748" t="n">
        <x:f>--AND(F748=1,D748='Calculator'!$B$4)</x:f>
        <x:v>0</x:v>
      </x:c>
      <x:c r="I748" t="n">
        <x:f>--AND(H748=1,G748=1)</x:f>
        <x:v>0</x:v>
      </x:c>
      <x:c r="J748" t="n">
        <x:f>--AND(F748=1,E748='Calculator'!$B$4)</x:f>
        <x:v>0</x:v>
      </x:c>
      <x:c r="K748" t="n">
        <x:f>--AND(J748=1,G748=1)</x:f>
        <x:v>0</x:v>
      </x:c>
      <x:c r="L748" t="str">
        <x:f>A748&amp;"/"&amp;B748&amp;"/"&amp;C748</x:f>
        <x:v>13/10/12</x:v>
      </x:c>
      <x:c r="M748" t="str">
        <x:f>MIN(15,A748+'Calculator'!$B$6)&amp;"/"&amp;MIN(15,B748+'Calculator'!$B$6)&amp;"/"&amp;MIN(15,C748+'Calculator'!$B$6)</x:f>
        <x:v>15/12/14</x:v>
      </x:c>
    </x:row>
    <x:row r="749">
      <x:c r="A749" t="n">
        <x:v>13</x:v>
      </x:c>
      <x:c r="B749" t="n">
        <x:v>10</x:v>
      </x:c>
      <x:c r="C749" t="n">
        <x:v>13</x:v>
      </x:c>
      <x:c r="D749" t="n">
        <x:f>MAX(10,ROUNDDOWN((('Calculator'!$B$10+A749)*SQRT('Calculator'!$B$11+B749)*SQRT('Calculator'!$B$12+C749)*0.59740001^2)/10,0))</x:f>
        <x:v>2332</x:v>
      </x:c>
      <x:c r="E749" t="n">
        <x:f>MAX(10,ROUNDDOWN((('Calculator'!$B$10+A749)*SQRT('Calculator'!$B$11+B749)*SQRT('Calculator'!$B$12+C749)*0.667934^2)/10,0))</x:f>
        <x:v>2915</x:v>
      </x:c>
      <x:c r="F749" t="n">
        <x:f>--AND(A749&gt;='Calculator'!$B$5,B749&gt;='Calculator'!$B$5,C749&gt;='Calculator'!$B$5)</x:f>
        <x:v>1</x:v>
      </x:c>
      <x:c r="G749" t="n">
        <x:f>--AND(A749+'Calculator'!$B$6&gt;=15,B749+'Calculator'!$B$6&gt;=15,C749+'Calculator'!$B$6&gt;=15)</x:f>
        <x:v>0</x:v>
      </x:c>
      <x:c r="H749" t="n">
        <x:f>--AND(F749=1,D749='Calculator'!$B$4)</x:f>
        <x:v>0</x:v>
      </x:c>
      <x:c r="I749" t="n">
        <x:f>--AND(H749=1,G749=1)</x:f>
        <x:v>0</x:v>
      </x:c>
      <x:c r="J749" t="n">
        <x:f>--AND(F749=1,E749='Calculator'!$B$4)</x:f>
        <x:v>0</x:v>
      </x:c>
      <x:c r="K749" t="n">
        <x:f>--AND(J749=1,G749=1)</x:f>
        <x:v>0</x:v>
      </x:c>
      <x:c r="L749" t="str">
        <x:f>A749&amp;"/"&amp;B749&amp;"/"&amp;C749</x:f>
        <x:v>13/10/13</x:v>
      </x:c>
      <x:c r="M749" t="str">
        <x:f>MIN(15,A749+'Calculator'!$B$6)&amp;"/"&amp;MIN(15,B749+'Calculator'!$B$6)&amp;"/"&amp;MIN(15,C749+'Calculator'!$B$6)</x:f>
        <x:v>15/12/15</x:v>
      </x:c>
    </x:row>
    <x:row r="750">
      <x:c r="A750" t="n">
        <x:v>13</x:v>
      </x:c>
      <x:c r="B750" t="n">
        <x:v>10</x:v>
      </x:c>
      <x:c r="C750" t="n">
        <x:v>14</x:v>
      </x:c>
      <x:c r="D750" t="n">
        <x:f>MAX(10,ROUNDDOWN((('Calculator'!$B$10+A750)*SQRT('Calculator'!$B$11+B750)*SQRT('Calculator'!$B$12+C750)*0.59740001^2)/10,0))</x:f>
        <x:v>2337</x:v>
      </x:c>
      <x:c r="E750" t="n">
        <x:f>MAX(10,ROUNDDOWN((('Calculator'!$B$10+A750)*SQRT('Calculator'!$B$11+B750)*SQRT('Calculator'!$B$12+C750)*0.667934^2)/10,0))</x:f>
        <x:v>2921</x:v>
      </x:c>
      <x:c r="F750" t="n">
        <x:f>--AND(A750&gt;='Calculator'!$B$5,B750&gt;='Calculator'!$B$5,C750&gt;='Calculator'!$B$5)</x:f>
        <x:v>1</x:v>
      </x:c>
      <x:c r="G750" t="n">
        <x:f>--AND(A750+'Calculator'!$B$6&gt;=15,B750+'Calculator'!$B$6&gt;=15,C750+'Calculator'!$B$6&gt;=15)</x:f>
        <x:v>0</x:v>
      </x:c>
      <x:c r="H750" t="n">
        <x:f>--AND(F750=1,D750='Calculator'!$B$4)</x:f>
        <x:v>0</x:v>
      </x:c>
      <x:c r="I750" t="n">
        <x:f>--AND(H750=1,G750=1)</x:f>
        <x:v>0</x:v>
      </x:c>
      <x:c r="J750" t="n">
        <x:f>--AND(F750=1,E750='Calculator'!$B$4)</x:f>
        <x:v>0</x:v>
      </x:c>
      <x:c r="K750" t="n">
        <x:f>--AND(J750=1,G750=1)</x:f>
        <x:v>0</x:v>
      </x:c>
      <x:c r="L750" t="str">
        <x:f>A750&amp;"/"&amp;B750&amp;"/"&amp;C750</x:f>
        <x:v>13/10/14</x:v>
      </x:c>
      <x:c r="M750" t="str">
        <x:f>MIN(15,A750+'Calculator'!$B$6)&amp;"/"&amp;MIN(15,B750+'Calculator'!$B$6)&amp;"/"&amp;MIN(15,C750+'Calculator'!$B$6)</x:f>
        <x:v>15/12/15</x:v>
      </x:c>
    </x:row>
    <x:row r="751">
      <x:c r="A751" t="n">
        <x:v>13</x:v>
      </x:c>
      <x:c r="B751" t="n">
        <x:v>10</x:v>
      </x:c>
      <x:c r="C751" t="n">
        <x:v>15</x:v>
      </x:c>
      <x:c r="D751" t="n">
        <x:f>MAX(10,ROUNDDOWN((('Calculator'!$B$10+A751)*SQRT('Calculator'!$B$11+B751)*SQRT('Calculator'!$B$12+C751)*0.59740001^2)/10,0))</x:f>
        <x:v>2342</x:v>
      </x:c>
      <x:c r="E751" t="n">
        <x:f>MAX(10,ROUNDDOWN((('Calculator'!$B$10+A751)*SQRT('Calculator'!$B$11+B751)*SQRT('Calculator'!$B$12+C751)*0.667934^2)/10,0))</x:f>
        <x:v>2928</x:v>
      </x:c>
      <x:c r="F751" t="n">
        <x:f>--AND(A751&gt;='Calculator'!$B$5,B751&gt;='Calculator'!$B$5,C751&gt;='Calculator'!$B$5)</x:f>
        <x:v>1</x:v>
      </x:c>
      <x:c r="G751" t="n">
        <x:f>--AND(A751+'Calculator'!$B$6&gt;=15,B751+'Calculator'!$B$6&gt;=15,C751+'Calculator'!$B$6&gt;=15)</x:f>
        <x:v>0</x:v>
      </x:c>
      <x:c r="H751" t="n">
        <x:f>--AND(F751=1,D751='Calculator'!$B$4)</x:f>
        <x:v>0</x:v>
      </x:c>
      <x:c r="I751" t="n">
        <x:f>--AND(H751=1,G751=1)</x:f>
        <x:v>0</x:v>
      </x:c>
      <x:c r="J751" t="n">
        <x:f>--AND(F751=1,E751='Calculator'!$B$4)</x:f>
        <x:v>0</x:v>
      </x:c>
      <x:c r="K751" t="n">
        <x:f>--AND(J751=1,G751=1)</x:f>
        <x:v>0</x:v>
      </x:c>
      <x:c r="L751" t="str">
        <x:f>A751&amp;"/"&amp;B751&amp;"/"&amp;C751</x:f>
        <x:v>13/10/15</x:v>
      </x:c>
      <x:c r="M751" t="str">
        <x:f>MIN(15,A751+'Calculator'!$B$6)&amp;"/"&amp;MIN(15,B751+'Calculator'!$B$6)&amp;"/"&amp;MIN(15,C751+'Calculator'!$B$6)</x:f>
        <x:v>15/12/15</x:v>
      </x:c>
    </x:row>
    <x:row r="752">
      <x:c r="A752" t="n">
        <x:v>13</x:v>
      </x:c>
      <x:c r="B752" t="n">
        <x:v>11</x:v>
      </x:c>
      <x:c r="C752" t="n">
        <x:v>6</x:v>
      </x:c>
      <x:c r="D752" t="n">
        <x:f>MAX(10,ROUNDDOWN((('Calculator'!$B$10+A752)*SQRT('Calculator'!$B$11+B752)*SQRT('Calculator'!$B$12+C752)*0.59740001^2)/10,0))</x:f>
        <x:v>2301</x:v>
      </x:c>
      <x:c r="E752" t="n">
        <x:f>MAX(10,ROUNDDOWN((('Calculator'!$B$10+A752)*SQRT('Calculator'!$B$11+B752)*SQRT('Calculator'!$B$12+C752)*0.667934^2)/10,0))</x:f>
        <x:v>2877</x:v>
      </x:c>
      <x:c r="F752" t="n">
        <x:f>--AND(A752&gt;='Calculator'!$B$5,B752&gt;='Calculator'!$B$5,C752&gt;='Calculator'!$B$5)</x:f>
        <x:v>1</x:v>
      </x:c>
      <x:c r="G752" t="n">
        <x:f>--AND(A752+'Calculator'!$B$6&gt;=15,B752+'Calculator'!$B$6&gt;=15,C752+'Calculator'!$B$6&gt;=15)</x:f>
        <x:v>0</x:v>
      </x:c>
      <x:c r="H752" t="n">
        <x:f>--AND(F752=1,D752='Calculator'!$B$4)</x:f>
        <x:v>0</x:v>
      </x:c>
      <x:c r="I752" t="n">
        <x:f>--AND(H752=1,G752=1)</x:f>
        <x:v>0</x:v>
      </x:c>
      <x:c r="J752" t="n">
        <x:f>--AND(F752=1,E752='Calculator'!$B$4)</x:f>
        <x:v>0</x:v>
      </x:c>
      <x:c r="K752" t="n">
        <x:f>--AND(J752=1,G752=1)</x:f>
        <x:v>0</x:v>
      </x:c>
      <x:c r="L752" t="str">
        <x:f>A752&amp;"/"&amp;B752&amp;"/"&amp;C752</x:f>
        <x:v>13/11/6</x:v>
      </x:c>
      <x:c r="M752" t="str">
        <x:f>MIN(15,A752+'Calculator'!$B$6)&amp;"/"&amp;MIN(15,B752+'Calculator'!$B$6)&amp;"/"&amp;MIN(15,C752+'Calculator'!$B$6)</x:f>
        <x:v>15/13/8</x:v>
      </x:c>
    </x:row>
    <x:row r="753">
      <x:c r="A753" t="n">
        <x:v>13</x:v>
      </x:c>
      <x:c r="B753" t="n">
        <x:v>11</x:v>
      </x:c>
      <x:c r="C753" t="n">
        <x:v>7</x:v>
      </x:c>
      <x:c r="D753" t="n">
        <x:f>MAX(10,ROUNDDOWN((('Calculator'!$B$10+A753)*SQRT('Calculator'!$B$11+B753)*SQRT('Calculator'!$B$12+C753)*0.59740001^2)/10,0))</x:f>
        <x:v>2307</x:v>
      </x:c>
      <x:c r="E753" t="n">
        <x:f>MAX(10,ROUNDDOWN((('Calculator'!$B$10+A753)*SQRT('Calculator'!$B$11+B753)*SQRT('Calculator'!$B$12+C753)*0.667934^2)/10,0))</x:f>
        <x:v>2883</x:v>
      </x:c>
      <x:c r="F753" t="n">
        <x:f>--AND(A753&gt;='Calculator'!$B$5,B753&gt;='Calculator'!$B$5,C753&gt;='Calculator'!$B$5)</x:f>
        <x:v>1</x:v>
      </x:c>
      <x:c r="G753" t="n">
        <x:f>--AND(A753+'Calculator'!$B$6&gt;=15,B753+'Calculator'!$B$6&gt;=15,C753+'Calculator'!$B$6&gt;=15)</x:f>
        <x:v>0</x:v>
      </x:c>
      <x:c r="H753" t="n">
        <x:f>--AND(F753=1,D753='Calculator'!$B$4)</x:f>
        <x:v>0</x:v>
      </x:c>
      <x:c r="I753" t="n">
        <x:f>--AND(H753=1,G753=1)</x:f>
        <x:v>0</x:v>
      </x:c>
      <x:c r="J753" t="n">
        <x:f>--AND(F753=1,E753='Calculator'!$B$4)</x:f>
        <x:v>0</x:v>
      </x:c>
      <x:c r="K753" t="n">
        <x:f>--AND(J753=1,G753=1)</x:f>
        <x:v>0</x:v>
      </x:c>
      <x:c r="L753" t="str">
        <x:f>A753&amp;"/"&amp;B753&amp;"/"&amp;C753</x:f>
        <x:v>13/11/7</x:v>
      </x:c>
      <x:c r="M753" t="str">
        <x:f>MIN(15,A753+'Calculator'!$B$6)&amp;"/"&amp;MIN(15,B753+'Calculator'!$B$6)&amp;"/"&amp;MIN(15,C753+'Calculator'!$B$6)</x:f>
        <x:v>15/13/9</x:v>
      </x:c>
    </x:row>
    <x:row r="754">
      <x:c r="A754" t="n">
        <x:v>13</x:v>
      </x:c>
      <x:c r="B754" t="n">
        <x:v>11</x:v>
      </x:c>
      <x:c r="C754" t="n">
        <x:v>8</x:v>
      </x:c>
      <x:c r="D754" t="n">
        <x:f>MAX(10,ROUNDDOWN((('Calculator'!$B$10+A754)*SQRT('Calculator'!$B$11+B754)*SQRT('Calculator'!$B$12+C754)*0.59740001^2)/10,0))</x:f>
        <x:v>2312</x:v>
      </x:c>
      <x:c r="E754" t="n">
        <x:f>MAX(10,ROUNDDOWN((('Calculator'!$B$10+A754)*SQRT('Calculator'!$B$11+B754)*SQRT('Calculator'!$B$12+C754)*0.667934^2)/10,0))</x:f>
        <x:v>2890</x:v>
      </x:c>
      <x:c r="F754" t="n">
        <x:f>--AND(A754&gt;='Calculator'!$B$5,B754&gt;='Calculator'!$B$5,C754&gt;='Calculator'!$B$5)</x:f>
        <x:v>1</x:v>
      </x:c>
      <x:c r="G754" t="n">
        <x:f>--AND(A754+'Calculator'!$B$6&gt;=15,B754+'Calculator'!$B$6&gt;=15,C754+'Calculator'!$B$6&gt;=15)</x:f>
        <x:v>0</x:v>
      </x:c>
      <x:c r="H754" t="n">
        <x:f>--AND(F754=1,D754='Calculator'!$B$4)</x:f>
        <x:v>0</x:v>
      </x:c>
      <x:c r="I754" t="n">
        <x:f>--AND(H754=1,G754=1)</x:f>
        <x:v>0</x:v>
      </x:c>
      <x:c r="J754" t="n">
        <x:f>--AND(F754=1,E754='Calculator'!$B$4)</x:f>
        <x:v>0</x:v>
      </x:c>
      <x:c r="K754" t="n">
        <x:f>--AND(J754=1,G754=1)</x:f>
        <x:v>0</x:v>
      </x:c>
      <x:c r="L754" t="str">
        <x:f>A754&amp;"/"&amp;B754&amp;"/"&amp;C754</x:f>
        <x:v>13/11/8</x:v>
      </x:c>
      <x:c r="M754" t="str">
        <x:f>MIN(15,A754+'Calculator'!$B$6)&amp;"/"&amp;MIN(15,B754+'Calculator'!$B$6)&amp;"/"&amp;MIN(15,C754+'Calculator'!$B$6)</x:f>
        <x:v>15/13/10</x:v>
      </x:c>
    </x:row>
    <x:row r="755">
      <x:c r="A755" t="n">
        <x:v>13</x:v>
      </x:c>
      <x:c r="B755" t="n">
        <x:v>11</x:v>
      </x:c>
      <x:c r="C755" t="n">
        <x:v>9</x:v>
      </x:c>
      <x:c r="D755" t="n">
        <x:f>MAX(10,ROUNDDOWN((('Calculator'!$B$10+A755)*SQRT('Calculator'!$B$11+B755)*SQRT('Calculator'!$B$12+C755)*0.59740001^2)/10,0))</x:f>
        <x:v>2317</x:v>
      </x:c>
      <x:c r="E755" t="n">
        <x:f>MAX(10,ROUNDDOWN((('Calculator'!$B$10+A755)*SQRT('Calculator'!$B$11+B755)*SQRT('Calculator'!$B$12+C755)*0.667934^2)/10,0))</x:f>
        <x:v>2896</x:v>
      </x:c>
      <x:c r="F755" t="n">
        <x:f>--AND(A755&gt;='Calculator'!$B$5,B755&gt;='Calculator'!$B$5,C755&gt;='Calculator'!$B$5)</x:f>
        <x:v>1</x:v>
      </x:c>
      <x:c r="G755" t="n">
        <x:f>--AND(A755+'Calculator'!$B$6&gt;=15,B755+'Calculator'!$B$6&gt;=15,C755+'Calculator'!$B$6&gt;=15)</x:f>
        <x:v>0</x:v>
      </x:c>
      <x:c r="H755" t="n">
        <x:f>--AND(F755=1,D755='Calculator'!$B$4)</x:f>
        <x:v>0</x:v>
      </x:c>
      <x:c r="I755" t="n">
        <x:f>--AND(H755=1,G755=1)</x:f>
        <x:v>0</x:v>
      </x:c>
      <x:c r="J755" t="n">
        <x:f>--AND(F755=1,E755='Calculator'!$B$4)</x:f>
        <x:v>0</x:v>
      </x:c>
      <x:c r="K755" t="n">
        <x:f>--AND(J755=1,G755=1)</x:f>
        <x:v>0</x:v>
      </x:c>
      <x:c r="L755" t="str">
        <x:f>A755&amp;"/"&amp;B755&amp;"/"&amp;C755</x:f>
        <x:v>13/11/9</x:v>
      </x:c>
      <x:c r="M755" t="str">
        <x:f>MIN(15,A755+'Calculator'!$B$6)&amp;"/"&amp;MIN(15,B755+'Calculator'!$B$6)&amp;"/"&amp;MIN(15,C755+'Calculator'!$B$6)</x:f>
        <x:v>15/13/11</x:v>
      </x:c>
    </x:row>
    <x:row r="756">
      <x:c r="A756" t="n">
        <x:v>13</x:v>
      </x:c>
      <x:c r="B756" t="n">
        <x:v>11</x:v>
      </x:c>
      <x:c r="C756" t="n">
        <x:v>10</x:v>
      </x:c>
      <x:c r="D756" t="n">
        <x:f>MAX(10,ROUNDDOWN((('Calculator'!$B$10+A756)*SQRT('Calculator'!$B$11+B756)*SQRT('Calculator'!$B$12+C756)*0.59740001^2)/10,0))</x:f>
        <x:v>2322</x:v>
      </x:c>
      <x:c r="E756" t="n">
        <x:f>MAX(10,ROUNDDOWN((('Calculator'!$B$10+A756)*SQRT('Calculator'!$B$11+B756)*SQRT('Calculator'!$B$12+C756)*0.667934^2)/10,0))</x:f>
        <x:v>2903</x:v>
      </x:c>
      <x:c r="F756" t="n">
        <x:f>--AND(A756&gt;='Calculator'!$B$5,B756&gt;='Calculator'!$B$5,C756&gt;='Calculator'!$B$5)</x:f>
        <x:v>1</x:v>
      </x:c>
      <x:c r="G756" t="n">
        <x:f>--AND(A756+'Calculator'!$B$6&gt;=15,B756+'Calculator'!$B$6&gt;=15,C756+'Calculator'!$B$6&gt;=15)</x:f>
        <x:v>0</x:v>
      </x:c>
      <x:c r="H756" t="n">
        <x:f>--AND(F756=1,D756='Calculator'!$B$4)</x:f>
        <x:v>0</x:v>
      </x:c>
      <x:c r="I756" t="n">
        <x:f>--AND(H756=1,G756=1)</x:f>
        <x:v>0</x:v>
      </x:c>
      <x:c r="J756" t="n">
        <x:f>--AND(F756=1,E756='Calculator'!$B$4)</x:f>
        <x:v>0</x:v>
      </x:c>
      <x:c r="K756" t="n">
        <x:f>--AND(J756=1,G756=1)</x:f>
        <x:v>0</x:v>
      </x:c>
      <x:c r="L756" t="str">
        <x:f>A756&amp;"/"&amp;B756&amp;"/"&amp;C756</x:f>
        <x:v>13/11/10</x:v>
      </x:c>
      <x:c r="M756" t="str">
        <x:f>MIN(15,A756+'Calculator'!$B$6)&amp;"/"&amp;MIN(15,B756+'Calculator'!$B$6)&amp;"/"&amp;MIN(15,C756+'Calculator'!$B$6)</x:f>
        <x:v>15/13/12</x:v>
      </x:c>
    </x:row>
    <x:row r="757">
      <x:c r="A757" t="n">
        <x:v>13</x:v>
      </x:c>
      <x:c r="B757" t="n">
        <x:v>11</x:v>
      </x:c>
      <x:c r="C757" t="n">
        <x:v>11</x:v>
      </x:c>
      <x:c r="D757" t="n">
        <x:f>MAX(10,ROUNDDOWN((('Calculator'!$B$10+A757)*SQRT('Calculator'!$B$11+B757)*SQRT('Calculator'!$B$12+C757)*0.59740001^2)/10,0))</x:f>
        <x:v>2327</x:v>
      </x:c>
      <x:c r="E757" t="n">
        <x:f>MAX(10,ROUNDDOWN((('Calculator'!$B$10+A757)*SQRT('Calculator'!$B$11+B757)*SQRT('Calculator'!$B$12+C757)*0.667934^2)/10,0))</x:f>
        <x:v>2909</x:v>
      </x:c>
      <x:c r="F757" t="n">
        <x:f>--AND(A757&gt;='Calculator'!$B$5,B757&gt;='Calculator'!$B$5,C757&gt;='Calculator'!$B$5)</x:f>
        <x:v>1</x:v>
      </x:c>
      <x:c r="G757" t="n">
        <x:f>--AND(A757+'Calculator'!$B$6&gt;=15,B757+'Calculator'!$B$6&gt;=15,C757+'Calculator'!$B$6&gt;=15)</x:f>
        <x:v>0</x:v>
      </x:c>
      <x:c r="H757" t="n">
        <x:f>--AND(F757=1,D757='Calculator'!$B$4)</x:f>
        <x:v>0</x:v>
      </x:c>
      <x:c r="I757" t="n">
        <x:f>--AND(H757=1,G757=1)</x:f>
        <x:v>0</x:v>
      </x:c>
      <x:c r="J757" t="n">
        <x:f>--AND(F757=1,E757='Calculator'!$B$4)</x:f>
        <x:v>0</x:v>
      </x:c>
      <x:c r="K757" t="n">
        <x:f>--AND(J757=1,G757=1)</x:f>
        <x:v>0</x:v>
      </x:c>
      <x:c r="L757" t="str">
        <x:f>A757&amp;"/"&amp;B757&amp;"/"&amp;C757</x:f>
        <x:v>13/11/11</x:v>
      </x:c>
      <x:c r="M757" t="str">
        <x:f>MIN(15,A757+'Calculator'!$B$6)&amp;"/"&amp;MIN(15,B757+'Calculator'!$B$6)&amp;"/"&amp;MIN(15,C757+'Calculator'!$B$6)</x:f>
        <x:v>15/13/13</x:v>
      </x:c>
    </x:row>
    <x:row r="758">
      <x:c r="A758" t="n">
        <x:v>13</x:v>
      </x:c>
      <x:c r="B758" t="n">
        <x:v>11</x:v>
      </x:c>
      <x:c r="C758" t="n">
        <x:v>12</x:v>
      </x:c>
      <x:c r="D758" t="n">
        <x:f>MAX(10,ROUNDDOWN((('Calculator'!$B$10+A758)*SQRT('Calculator'!$B$11+B758)*SQRT('Calculator'!$B$12+C758)*0.59740001^2)/10,0))</x:f>
        <x:v>2332</x:v>
      </x:c>
      <x:c r="E758" t="n">
        <x:f>MAX(10,ROUNDDOWN((('Calculator'!$B$10+A758)*SQRT('Calculator'!$B$11+B758)*SQRT('Calculator'!$B$12+C758)*0.667934^2)/10,0))</x:f>
        <x:v>2916</x:v>
      </x:c>
      <x:c r="F758" t="n">
        <x:f>--AND(A758&gt;='Calculator'!$B$5,B758&gt;='Calculator'!$B$5,C758&gt;='Calculator'!$B$5)</x:f>
        <x:v>1</x:v>
      </x:c>
      <x:c r="G758" t="n">
        <x:f>--AND(A758+'Calculator'!$B$6&gt;=15,B758+'Calculator'!$B$6&gt;=15,C758+'Calculator'!$B$6&gt;=15)</x:f>
        <x:v>0</x:v>
      </x:c>
      <x:c r="H758" t="n">
        <x:f>--AND(F758=1,D758='Calculator'!$B$4)</x:f>
        <x:v>0</x:v>
      </x:c>
      <x:c r="I758" t="n">
        <x:f>--AND(H758=1,G758=1)</x:f>
        <x:v>0</x:v>
      </x:c>
      <x:c r="J758" t="n">
        <x:f>--AND(F758=1,E758='Calculator'!$B$4)</x:f>
        <x:v>0</x:v>
      </x:c>
      <x:c r="K758" t="n">
        <x:f>--AND(J758=1,G758=1)</x:f>
        <x:v>0</x:v>
      </x:c>
      <x:c r="L758" t="str">
        <x:f>A758&amp;"/"&amp;B758&amp;"/"&amp;C758</x:f>
        <x:v>13/11/12</x:v>
      </x:c>
      <x:c r="M758" t="str">
        <x:f>MIN(15,A758+'Calculator'!$B$6)&amp;"/"&amp;MIN(15,B758+'Calculator'!$B$6)&amp;"/"&amp;MIN(15,C758+'Calculator'!$B$6)</x:f>
        <x:v>15/13/14</x:v>
      </x:c>
    </x:row>
    <x:row r="759">
      <x:c r="A759" t="n">
        <x:v>13</x:v>
      </x:c>
      <x:c r="B759" t="n">
        <x:v>11</x:v>
      </x:c>
      <x:c r="C759" t="n">
        <x:v>13</x:v>
      </x:c>
      <x:c r="D759" t="n">
        <x:f>MAX(10,ROUNDDOWN((('Calculator'!$B$10+A759)*SQRT('Calculator'!$B$11+B759)*SQRT('Calculator'!$B$12+C759)*0.59740001^2)/10,0))</x:f>
        <x:v>2338</x:v>
      </x:c>
      <x:c r="E759" t="n">
        <x:f>MAX(10,ROUNDDOWN((('Calculator'!$B$10+A759)*SQRT('Calculator'!$B$11+B759)*SQRT('Calculator'!$B$12+C759)*0.667934^2)/10,0))</x:f>
        <x:v>2922</x:v>
      </x:c>
      <x:c r="F759" t="n">
        <x:f>--AND(A759&gt;='Calculator'!$B$5,B759&gt;='Calculator'!$B$5,C759&gt;='Calculator'!$B$5)</x:f>
        <x:v>1</x:v>
      </x:c>
      <x:c r="G759" t="n">
        <x:f>--AND(A759+'Calculator'!$B$6&gt;=15,B759+'Calculator'!$B$6&gt;=15,C759+'Calculator'!$B$6&gt;=15)</x:f>
        <x:v>0</x:v>
      </x:c>
      <x:c r="H759" t="n">
        <x:f>--AND(F759=1,D759='Calculator'!$B$4)</x:f>
        <x:v>0</x:v>
      </x:c>
      <x:c r="I759" t="n">
        <x:f>--AND(H759=1,G759=1)</x:f>
        <x:v>0</x:v>
      </x:c>
      <x:c r="J759" t="n">
        <x:f>--AND(F759=1,E759='Calculator'!$B$4)</x:f>
        <x:v>0</x:v>
      </x:c>
      <x:c r="K759" t="n">
        <x:f>--AND(J759=1,G759=1)</x:f>
        <x:v>0</x:v>
      </x:c>
      <x:c r="L759" t="str">
        <x:f>A759&amp;"/"&amp;B759&amp;"/"&amp;C759</x:f>
        <x:v>13/11/13</x:v>
      </x:c>
      <x:c r="M759" t="str">
        <x:f>MIN(15,A759+'Calculator'!$B$6)&amp;"/"&amp;MIN(15,B759+'Calculator'!$B$6)&amp;"/"&amp;MIN(15,C759+'Calculator'!$B$6)</x:f>
        <x:v>15/13/15</x:v>
      </x:c>
    </x:row>
    <x:row r="760">
      <x:c r="A760" t="n">
        <x:v>13</x:v>
      </x:c>
      <x:c r="B760" t="n">
        <x:v>11</x:v>
      </x:c>
      <x:c r="C760" t="n">
        <x:v>14</x:v>
      </x:c>
      <x:c r="D760" t="n">
        <x:f>MAX(10,ROUNDDOWN((('Calculator'!$B$10+A760)*SQRT('Calculator'!$B$11+B760)*SQRT('Calculator'!$B$12+C760)*0.59740001^2)/10,0))</x:f>
        <x:v>2343</x:v>
      </x:c>
      <x:c r="E760" t="n">
        <x:f>MAX(10,ROUNDDOWN((('Calculator'!$B$10+A760)*SQRT('Calculator'!$B$11+B760)*SQRT('Calculator'!$B$12+C760)*0.667934^2)/10,0))</x:f>
        <x:v>2929</x:v>
      </x:c>
      <x:c r="F760" t="n">
        <x:f>--AND(A760&gt;='Calculator'!$B$5,B760&gt;='Calculator'!$B$5,C760&gt;='Calculator'!$B$5)</x:f>
        <x:v>1</x:v>
      </x:c>
      <x:c r="G760" t="n">
        <x:f>--AND(A760+'Calculator'!$B$6&gt;=15,B760+'Calculator'!$B$6&gt;=15,C760+'Calculator'!$B$6&gt;=15)</x:f>
        <x:v>0</x:v>
      </x:c>
      <x:c r="H760" t="n">
        <x:f>--AND(F760=1,D760='Calculator'!$B$4)</x:f>
        <x:v>0</x:v>
      </x:c>
      <x:c r="I760" t="n">
        <x:f>--AND(H760=1,G760=1)</x:f>
        <x:v>0</x:v>
      </x:c>
      <x:c r="J760" t="n">
        <x:f>--AND(F760=1,E760='Calculator'!$B$4)</x:f>
        <x:v>0</x:v>
      </x:c>
      <x:c r="K760" t="n">
        <x:f>--AND(J760=1,G760=1)</x:f>
        <x:v>0</x:v>
      </x:c>
      <x:c r="L760" t="str">
        <x:f>A760&amp;"/"&amp;B760&amp;"/"&amp;C760</x:f>
        <x:v>13/11/14</x:v>
      </x:c>
      <x:c r="M760" t="str">
        <x:f>MIN(15,A760+'Calculator'!$B$6)&amp;"/"&amp;MIN(15,B760+'Calculator'!$B$6)&amp;"/"&amp;MIN(15,C760+'Calculator'!$B$6)</x:f>
        <x:v>15/13/15</x:v>
      </x:c>
    </x:row>
    <x:row r="761">
      <x:c r="A761" t="n">
        <x:v>13</x:v>
      </x:c>
      <x:c r="B761" t="n">
        <x:v>11</x:v>
      </x:c>
      <x:c r="C761" t="n">
        <x:v>15</x:v>
      </x:c>
      <x:c r="D761" t="n">
        <x:f>MAX(10,ROUNDDOWN((('Calculator'!$B$10+A761)*SQRT('Calculator'!$B$11+B761)*SQRT('Calculator'!$B$12+C761)*0.59740001^2)/10,0))</x:f>
        <x:v>2348</x:v>
      </x:c>
      <x:c r="E761" t="n">
        <x:f>MAX(10,ROUNDDOWN((('Calculator'!$B$10+A761)*SQRT('Calculator'!$B$11+B761)*SQRT('Calculator'!$B$12+C761)*0.667934^2)/10,0))</x:f>
        <x:v>2935</x:v>
      </x:c>
      <x:c r="F761" t="n">
        <x:f>--AND(A761&gt;='Calculator'!$B$5,B761&gt;='Calculator'!$B$5,C761&gt;='Calculator'!$B$5)</x:f>
        <x:v>1</x:v>
      </x:c>
      <x:c r="G761" t="n">
        <x:f>--AND(A761+'Calculator'!$B$6&gt;=15,B761+'Calculator'!$B$6&gt;=15,C761+'Calculator'!$B$6&gt;=15)</x:f>
        <x:v>0</x:v>
      </x:c>
      <x:c r="H761" t="n">
        <x:f>--AND(F761=1,D761='Calculator'!$B$4)</x:f>
        <x:v>0</x:v>
      </x:c>
      <x:c r="I761" t="n">
        <x:f>--AND(H761=1,G761=1)</x:f>
        <x:v>0</x:v>
      </x:c>
      <x:c r="J761" t="n">
        <x:f>--AND(F761=1,E761='Calculator'!$B$4)</x:f>
        <x:v>0</x:v>
      </x:c>
      <x:c r="K761" t="n">
        <x:f>--AND(J761=1,G761=1)</x:f>
        <x:v>0</x:v>
      </x:c>
      <x:c r="L761" t="str">
        <x:f>A761&amp;"/"&amp;B761&amp;"/"&amp;C761</x:f>
        <x:v>13/11/15</x:v>
      </x:c>
      <x:c r="M761" t="str">
        <x:f>MIN(15,A761+'Calculator'!$B$6)&amp;"/"&amp;MIN(15,B761+'Calculator'!$B$6)&amp;"/"&amp;MIN(15,C761+'Calculator'!$B$6)</x:f>
        <x:v>15/13/15</x:v>
      </x:c>
    </x:row>
    <x:row r="762">
      <x:c r="A762" t="n">
        <x:v>13</x:v>
      </x:c>
      <x:c r="B762" t="n">
        <x:v>12</x:v>
      </x:c>
      <x:c r="C762" t="n">
        <x:v>6</x:v>
      </x:c>
      <x:c r="D762" t="n">
        <x:f>MAX(10,ROUNDDOWN((('Calculator'!$B$10+A762)*SQRT('Calculator'!$B$11+B762)*SQRT('Calculator'!$B$12+C762)*0.59740001^2)/10,0))</x:f>
        <x:v>2307</x:v>
      </x:c>
      <x:c r="E762" t="n">
        <x:f>MAX(10,ROUNDDOWN((('Calculator'!$B$10+A762)*SQRT('Calculator'!$B$11+B762)*SQRT('Calculator'!$B$12+C762)*0.667934^2)/10,0))</x:f>
        <x:v>2884</x:v>
      </x:c>
      <x:c r="F762" t="n">
        <x:f>--AND(A762&gt;='Calculator'!$B$5,B762&gt;='Calculator'!$B$5,C762&gt;='Calculator'!$B$5)</x:f>
        <x:v>1</x:v>
      </x:c>
      <x:c r="G762" t="n">
        <x:f>--AND(A762+'Calculator'!$B$6&gt;=15,B762+'Calculator'!$B$6&gt;=15,C762+'Calculator'!$B$6&gt;=15)</x:f>
        <x:v>0</x:v>
      </x:c>
      <x:c r="H762" t="n">
        <x:f>--AND(F762=1,D762='Calculator'!$B$4)</x:f>
        <x:v>0</x:v>
      </x:c>
      <x:c r="I762" t="n">
        <x:f>--AND(H762=1,G762=1)</x:f>
        <x:v>0</x:v>
      </x:c>
      <x:c r="J762" t="n">
        <x:f>--AND(F762=1,E762='Calculator'!$B$4)</x:f>
        <x:v>0</x:v>
      </x:c>
      <x:c r="K762" t="n">
        <x:f>--AND(J762=1,G762=1)</x:f>
        <x:v>0</x:v>
      </x:c>
      <x:c r="L762" t="str">
        <x:f>A762&amp;"/"&amp;B762&amp;"/"&amp;C762</x:f>
        <x:v>13/12/6</x:v>
      </x:c>
      <x:c r="M762" t="str">
        <x:f>MIN(15,A762+'Calculator'!$B$6)&amp;"/"&amp;MIN(15,B762+'Calculator'!$B$6)&amp;"/"&amp;MIN(15,C762+'Calculator'!$B$6)</x:f>
        <x:v>15/14/8</x:v>
      </x:c>
    </x:row>
    <x:row r="763">
      <x:c r="A763" t="n">
        <x:v>13</x:v>
      </x:c>
      <x:c r="B763" t="n">
        <x:v>12</x:v>
      </x:c>
      <x:c r="C763" t="n">
        <x:v>7</x:v>
      </x:c>
      <x:c r="D763" t="n">
        <x:f>MAX(10,ROUNDDOWN((('Calculator'!$B$10+A763)*SQRT('Calculator'!$B$11+B763)*SQRT('Calculator'!$B$12+C763)*0.59740001^2)/10,0))</x:f>
        <x:v>2312</x:v>
      </x:c>
      <x:c r="E763" t="n">
        <x:f>MAX(10,ROUNDDOWN((('Calculator'!$B$10+A763)*SQRT('Calculator'!$B$11+B763)*SQRT('Calculator'!$B$12+C763)*0.667934^2)/10,0))</x:f>
        <x:v>2891</x:v>
      </x:c>
      <x:c r="F763" t="n">
        <x:f>--AND(A763&gt;='Calculator'!$B$5,B763&gt;='Calculator'!$B$5,C763&gt;='Calculator'!$B$5)</x:f>
        <x:v>1</x:v>
      </x:c>
      <x:c r="G763" t="n">
        <x:f>--AND(A763+'Calculator'!$B$6&gt;=15,B763+'Calculator'!$B$6&gt;=15,C763+'Calculator'!$B$6&gt;=15)</x:f>
        <x:v>0</x:v>
      </x:c>
      <x:c r="H763" t="n">
        <x:f>--AND(F763=1,D763='Calculator'!$B$4)</x:f>
        <x:v>0</x:v>
      </x:c>
      <x:c r="I763" t="n">
        <x:f>--AND(H763=1,G763=1)</x:f>
        <x:v>0</x:v>
      </x:c>
      <x:c r="J763" t="n">
        <x:f>--AND(F763=1,E763='Calculator'!$B$4)</x:f>
        <x:v>0</x:v>
      </x:c>
      <x:c r="K763" t="n">
        <x:f>--AND(J763=1,G763=1)</x:f>
        <x:v>0</x:v>
      </x:c>
      <x:c r="L763" t="str">
        <x:f>A763&amp;"/"&amp;B763&amp;"/"&amp;C763</x:f>
        <x:v>13/12/7</x:v>
      </x:c>
      <x:c r="M763" t="str">
        <x:f>MIN(15,A763+'Calculator'!$B$6)&amp;"/"&amp;MIN(15,B763+'Calculator'!$B$6)&amp;"/"&amp;MIN(15,C763+'Calculator'!$B$6)</x:f>
        <x:v>15/14/9</x:v>
      </x:c>
    </x:row>
    <x:row r="764">
      <x:c r="A764" t="n">
        <x:v>13</x:v>
      </x:c>
      <x:c r="B764" t="n">
        <x:v>12</x:v>
      </x:c>
      <x:c r="C764" t="n">
        <x:v>8</x:v>
      </x:c>
      <x:c r="D764" t="n">
        <x:f>MAX(10,ROUNDDOWN((('Calculator'!$B$10+A764)*SQRT('Calculator'!$B$11+B764)*SQRT('Calculator'!$B$12+C764)*0.59740001^2)/10,0))</x:f>
        <x:v>2318</x:v>
      </x:c>
      <x:c r="E764" t="n">
        <x:f>MAX(10,ROUNDDOWN((('Calculator'!$B$10+A764)*SQRT('Calculator'!$B$11+B764)*SQRT('Calculator'!$B$12+C764)*0.667934^2)/10,0))</x:f>
        <x:v>2897</x:v>
      </x:c>
      <x:c r="F764" t="n">
        <x:f>--AND(A764&gt;='Calculator'!$B$5,B764&gt;='Calculator'!$B$5,C764&gt;='Calculator'!$B$5)</x:f>
        <x:v>1</x:v>
      </x:c>
      <x:c r="G764" t="n">
        <x:f>--AND(A764+'Calculator'!$B$6&gt;=15,B764+'Calculator'!$B$6&gt;=15,C764+'Calculator'!$B$6&gt;=15)</x:f>
        <x:v>0</x:v>
      </x:c>
      <x:c r="H764" t="n">
        <x:f>--AND(F764=1,D764='Calculator'!$B$4)</x:f>
        <x:v>0</x:v>
      </x:c>
      <x:c r="I764" t="n">
        <x:f>--AND(H764=1,G764=1)</x:f>
        <x:v>0</x:v>
      </x:c>
      <x:c r="J764" t="n">
        <x:f>--AND(F764=1,E764='Calculator'!$B$4)</x:f>
        <x:v>0</x:v>
      </x:c>
      <x:c r="K764" t="n">
        <x:f>--AND(J764=1,G764=1)</x:f>
        <x:v>0</x:v>
      </x:c>
      <x:c r="L764" t="str">
        <x:f>A764&amp;"/"&amp;B764&amp;"/"&amp;C764</x:f>
        <x:v>13/12/8</x:v>
      </x:c>
      <x:c r="M764" t="str">
        <x:f>MIN(15,A764+'Calculator'!$B$6)&amp;"/"&amp;MIN(15,B764+'Calculator'!$B$6)&amp;"/"&amp;MIN(15,C764+'Calculator'!$B$6)</x:f>
        <x:v>15/14/10</x:v>
      </x:c>
    </x:row>
    <x:row r="765">
      <x:c r="A765" t="n">
        <x:v>13</x:v>
      </x:c>
      <x:c r="B765" t="n">
        <x:v>12</x:v>
      </x:c>
      <x:c r="C765" t="n">
        <x:v>9</x:v>
      </x:c>
      <x:c r="D765" t="n">
        <x:f>MAX(10,ROUNDDOWN((('Calculator'!$B$10+A765)*SQRT('Calculator'!$B$11+B765)*SQRT('Calculator'!$B$12+C765)*0.59740001^2)/10,0))</x:f>
        <x:v>2323</x:v>
      </x:c>
      <x:c r="E765" t="n">
        <x:f>MAX(10,ROUNDDOWN((('Calculator'!$B$10+A765)*SQRT('Calculator'!$B$11+B765)*SQRT('Calculator'!$B$12+C765)*0.667934^2)/10,0))</x:f>
        <x:v>2904</x:v>
      </x:c>
      <x:c r="F765" t="n">
        <x:f>--AND(A765&gt;='Calculator'!$B$5,B765&gt;='Calculator'!$B$5,C765&gt;='Calculator'!$B$5)</x:f>
        <x:v>1</x:v>
      </x:c>
      <x:c r="G765" t="n">
        <x:f>--AND(A765+'Calculator'!$B$6&gt;=15,B765+'Calculator'!$B$6&gt;=15,C765+'Calculator'!$B$6&gt;=15)</x:f>
        <x:v>0</x:v>
      </x:c>
      <x:c r="H765" t="n">
        <x:f>--AND(F765=1,D765='Calculator'!$B$4)</x:f>
        <x:v>0</x:v>
      </x:c>
      <x:c r="I765" t="n">
        <x:f>--AND(H765=1,G765=1)</x:f>
        <x:v>0</x:v>
      </x:c>
      <x:c r="J765" t="n">
        <x:f>--AND(F765=1,E765='Calculator'!$B$4)</x:f>
        <x:v>0</x:v>
      </x:c>
      <x:c r="K765" t="n">
        <x:f>--AND(J765=1,G765=1)</x:f>
        <x:v>0</x:v>
      </x:c>
      <x:c r="L765" t="str">
        <x:f>A765&amp;"/"&amp;B765&amp;"/"&amp;C765</x:f>
        <x:v>13/12/9</x:v>
      </x:c>
      <x:c r="M765" t="str">
        <x:f>MIN(15,A765+'Calculator'!$B$6)&amp;"/"&amp;MIN(15,B765+'Calculator'!$B$6)&amp;"/"&amp;MIN(15,C765+'Calculator'!$B$6)</x:f>
        <x:v>15/14/11</x:v>
      </x:c>
    </x:row>
    <x:row r="766">
      <x:c r="A766" t="n">
        <x:v>13</x:v>
      </x:c>
      <x:c r="B766" t="n">
        <x:v>12</x:v>
      </x:c>
      <x:c r="C766" t="n">
        <x:v>10</x:v>
      </x:c>
      <x:c r="D766" t="n">
        <x:f>MAX(10,ROUNDDOWN((('Calculator'!$B$10+A766)*SQRT('Calculator'!$B$11+B766)*SQRT('Calculator'!$B$12+C766)*0.59740001^2)/10,0))</x:f>
        <x:v>2328</x:v>
      </x:c>
      <x:c r="E766" t="n">
        <x:f>MAX(10,ROUNDDOWN((('Calculator'!$B$10+A766)*SQRT('Calculator'!$B$11+B766)*SQRT('Calculator'!$B$12+C766)*0.667934^2)/10,0))</x:f>
        <x:v>2910</x:v>
      </x:c>
      <x:c r="F766" t="n">
        <x:f>--AND(A766&gt;='Calculator'!$B$5,B766&gt;='Calculator'!$B$5,C766&gt;='Calculator'!$B$5)</x:f>
        <x:v>1</x:v>
      </x:c>
      <x:c r="G766" t="n">
        <x:f>--AND(A766+'Calculator'!$B$6&gt;=15,B766+'Calculator'!$B$6&gt;=15,C766+'Calculator'!$B$6&gt;=15)</x:f>
        <x:v>0</x:v>
      </x:c>
      <x:c r="H766" t="n">
        <x:f>--AND(F766=1,D766='Calculator'!$B$4)</x:f>
        <x:v>0</x:v>
      </x:c>
      <x:c r="I766" t="n">
        <x:f>--AND(H766=1,G766=1)</x:f>
        <x:v>0</x:v>
      </x:c>
      <x:c r="J766" t="n">
        <x:f>--AND(F766=1,E766='Calculator'!$B$4)</x:f>
        <x:v>0</x:v>
      </x:c>
      <x:c r="K766" t="n">
        <x:f>--AND(J766=1,G766=1)</x:f>
        <x:v>0</x:v>
      </x:c>
      <x:c r="L766" t="str">
        <x:f>A766&amp;"/"&amp;B766&amp;"/"&amp;C766</x:f>
        <x:v>13/12/10</x:v>
      </x:c>
      <x:c r="M766" t="str">
        <x:f>MIN(15,A766+'Calculator'!$B$6)&amp;"/"&amp;MIN(15,B766+'Calculator'!$B$6)&amp;"/"&amp;MIN(15,C766+'Calculator'!$B$6)</x:f>
        <x:v>15/14/12</x:v>
      </x:c>
    </x:row>
    <x:row r="767">
      <x:c r="A767" t="n">
        <x:v>13</x:v>
      </x:c>
      <x:c r="B767" t="n">
        <x:v>12</x:v>
      </x:c>
      <x:c r="C767" t="n">
        <x:v>11</x:v>
      </x:c>
      <x:c r="D767" t="n">
        <x:f>MAX(10,ROUNDDOWN((('Calculator'!$B$10+A767)*SQRT('Calculator'!$B$11+B767)*SQRT('Calculator'!$B$12+C767)*0.59740001^2)/10,0))</x:f>
        <x:v>2333</x:v>
      </x:c>
      <x:c r="E767" t="n">
        <x:f>MAX(10,ROUNDDOWN((('Calculator'!$B$10+A767)*SQRT('Calculator'!$B$11+B767)*SQRT('Calculator'!$B$12+C767)*0.667934^2)/10,0))</x:f>
        <x:v>2917</x:v>
      </x:c>
      <x:c r="F767" t="n">
        <x:f>--AND(A767&gt;='Calculator'!$B$5,B767&gt;='Calculator'!$B$5,C767&gt;='Calculator'!$B$5)</x:f>
        <x:v>1</x:v>
      </x:c>
      <x:c r="G767" t="n">
        <x:f>--AND(A767+'Calculator'!$B$6&gt;=15,B767+'Calculator'!$B$6&gt;=15,C767+'Calculator'!$B$6&gt;=15)</x:f>
        <x:v>0</x:v>
      </x:c>
      <x:c r="H767" t="n">
        <x:f>--AND(F767=1,D767='Calculator'!$B$4)</x:f>
        <x:v>0</x:v>
      </x:c>
      <x:c r="I767" t="n">
        <x:f>--AND(H767=1,G767=1)</x:f>
        <x:v>0</x:v>
      </x:c>
      <x:c r="J767" t="n">
        <x:f>--AND(F767=1,E767='Calculator'!$B$4)</x:f>
        <x:v>0</x:v>
      </x:c>
      <x:c r="K767" t="n">
        <x:f>--AND(J767=1,G767=1)</x:f>
        <x:v>0</x:v>
      </x:c>
      <x:c r="L767" t="str">
        <x:f>A767&amp;"/"&amp;B767&amp;"/"&amp;C767</x:f>
        <x:v>13/12/11</x:v>
      </x:c>
      <x:c r="M767" t="str">
        <x:f>MIN(15,A767+'Calculator'!$B$6)&amp;"/"&amp;MIN(15,B767+'Calculator'!$B$6)&amp;"/"&amp;MIN(15,C767+'Calculator'!$B$6)</x:f>
        <x:v>15/14/13</x:v>
      </x:c>
    </x:row>
    <x:row r="768">
      <x:c r="A768" t="n">
        <x:v>13</x:v>
      </x:c>
      <x:c r="B768" t="n">
        <x:v>12</x:v>
      </x:c>
      <x:c r="C768" t="n">
        <x:v>12</x:v>
      </x:c>
      <x:c r="D768" t="n">
        <x:f>MAX(10,ROUNDDOWN((('Calculator'!$B$10+A768)*SQRT('Calculator'!$B$11+B768)*SQRT('Calculator'!$B$12+C768)*0.59740001^2)/10,0))</x:f>
        <x:v>2338</x:v>
      </x:c>
      <x:c r="E768" t="n">
        <x:f>MAX(10,ROUNDDOWN((('Calculator'!$B$10+A768)*SQRT('Calculator'!$B$11+B768)*SQRT('Calculator'!$B$12+C768)*0.667934^2)/10,0))</x:f>
        <x:v>2923</x:v>
      </x:c>
      <x:c r="F768" t="n">
        <x:f>--AND(A768&gt;='Calculator'!$B$5,B768&gt;='Calculator'!$B$5,C768&gt;='Calculator'!$B$5)</x:f>
        <x:v>1</x:v>
      </x:c>
      <x:c r="G768" t="n">
        <x:f>--AND(A768+'Calculator'!$B$6&gt;=15,B768+'Calculator'!$B$6&gt;=15,C768+'Calculator'!$B$6&gt;=15)</x:f>
        <x:v>0</x:v>
      </x:c>
      <x:c r="H768" t="n">
        <x:f>--AND(F768=1,D768='Calculator'!$B$4)</x:f>
        <x:v>0</x:v>
      </x:c>
      <x:c r="I768" t="n">
        <x:f>--AND(H768=1,G768=1)</x:f>
        <x:v>0</x:v>
      </x:c>
      <x:c r="J768" t="n">
        <x:f>--AND(F768=1,E768='Calculator'!$B$4)</x:f>
        <x:v>0</x:v>
      </x:c>
      <x:c r="K768" t="n">
        <x:f>--AND(J768=1,G768=1)</x:f>
        <x:v>0</x:v>
      </x:c>
      <x:c r="L768" t="str">
        <x:f>A768&amp;"/"&amp;B768&amp;"/"&amp;C768</x:f>
        <x:v>13/12/12</x:v>
      </x:c>
      <x:c r="M768" t="str">
        <x:f>MIN(15,A768+'Calculator'!$B$6)&amp;"/"&amp;MIN(15,B768+'Calculator'!$B$6)&amp;"/"&amp;MIN(15,C768+'Calculator'!$B$6)</x:f>
        <x:v>15/14/14</x:v>
      </x:c>
    </x:row>
    <x:row r="769">
      <x:c r="A769" t="n">
        <x:v>13</x:v>
      </x:c>
      <x:c r="B769" t="n">
        <x:v>12</x:v>
      </x:c>
      <x:c r="C769" t="n">
        <x:v>13</x:v>
      </x:c>
      <x:c r="D769" t="n">
        <x:f>MAX(10,ROUNDDOWN((('Calculator'!$B$10+A769)*SQRT('Calculator'!$B$11+B769)*SQRT('Calculator'!$B$12+C769)*0.59740001^2)/10,0))</x:f>
        <x:v>2344</x:v>
      </x:c>
      <x:c r="E769" t="n">
        <x:f>MAX(10,ROUNDDOWN((('Calculator'!$B$10+A769)*SQRT('Calculator'!$B$11+B769)*SQRT('Calculator'!$B$12+C769)*0.667934^2)/10,0))</x:f>
        <x:v>2930</x:v>
      </x:c>
      <x:c r="F769" t="n">
        <x:f>--AND(A769&gt;='Calculator'!$B$5,B769&gt;='Calculator'!$B$5,C769&gt;='Calculator'!$B$5)</x:f>
        <x:v>1</x:v>
      </x:c>
      <x:c r="G769" t="n">
        <x:f>--AND(A769+'Calculator'!$B$6&gt;=15,B769+'Calculator'!$B$6&gt;=15,C769+'Calculator'!$B$6&gt;=15)</x:f>
        <x:v>0</x:v>
      </x:c>
      <x:c r="H769" t="n">
        <x:f>--AND(F769=1,D769='Calculator'!$B$4)</x:f>
        <x:v>0</x:v>
      </x:c>
      <x:c r="I769" t="n">
        <x:f>--AND(H769=1,G769=1)</x:f>
        <x:v>0</x:v>
      </x:c>
      <x:c r="J769" t="n">
        <x:f>--AND(F769=1,E769='Calculator'!$B$4)</x:f>
        <x:v>0</x:v>
      </x:c>
      <x:c r="K769" t="n">
        <x:f>--AND(J769=1,G769=1)</x:f>
        <x:v>0</x:v>
      </x:c>
      <x:c r="L769" t="str">
        <x:f>A769&amp;"/"&amp;B769&amp;"/"&amp;C769</x:f>
        <x:v>13/12/13</x:v>
      </x:c>
      <x:c r="M769" t="str">
        <x:f>MIN(15,A769+'Calculator'!$B$6)&amp;"/"&amp;MIN(15,B769+'Calculator'!$B$6)&amp;"/"&amp;MIN(15,C769+'Calculator'!$B$6)</x:f>
        <x:v>15/14/15</x:v>
      </x:c>
    </x:row>
    <x:row r="770">
      <x:c r="A770" t="n">
        <x:v>13</x:v>
      </x:c>
      <x:c r="B770" t="n">
        <x:v>12</x:v>
      </x:c>
      <x:c r="C770" t="n">
        <x:v>14</x:v>
      </x:c>
      <x:c r="D770" t="n">
        <x:f>MAX(10,ROUNDDOWN((('Calculator'!$B$10+A770)*SQRT('Calculator'!$B$11+B770)*SQRT('Calculator'!$B$12+C770)*0.59740001^2)/10,0))</x:f>
        <x:v>2349</x:v>
      </x:c>
      <x:c r="E770" t="n">
        <x:f>MAX(10,ROUNDDOWN((('Calculator'!$B$10+A770)*SQRT('Calculator'!$B$11+B770)*SQRT('Calculator'!$B$12+C770)*0.667934^2)/10,0))</x:f>
        <x:v>2936</x:v>
      </x:c>
      <x:c r="F770" t="n">
        <x:f>--AND(A770&gt;='Calculator'!$B$5,B770&gt;='Calculator'!$B$5,C770&gt;='Calculator'!$B$5)</x:f>
        <x:v>1</x:v>
      </x:c>
      <x:c r="G770" t="n">
        <x:f>--AND(A770+'Calculator'!$B$6&gt;=15,B770+'Calculator'!$B$6&gt;=15,C770+'Calculator'!$B$6&gt;=15)</x:f>
        <x:v>0</x:v>
      </x:c>
      <x:c r="H770" t="n">
        <x:f>--AND(F770=1,D770='Calculator'!$B$4)</x:f>
        <x:v>0</x:v>
      </x:c>
      <x:c r="I770" t="n">
        <x:f>--AND(H770=1,G770=1)</x:f>
        <x:v>0</x:v>
      </x:c>
      <x:c r="J770" t="n">
        <x:f>--AND(F770=1,E770='Calculator'!$B$4)</x:f>
        <x:v>0</x:v>
      </x:c>
      <x:c r="K770" t="n">
        <x:f>--AND(J770=1,G770=1)</x:f>
        <x:v>0</x:v>
      </x:c>
      <x:c r="L770" t="str">
        <x:f>A770&amp;"/"&amp;B770&amp;"/"&amp;C770</x:f>
        <x:v>13/12/14</x:v>
      </x:c>
      <x:c r="M770" t="str">
        <x:f>MIN(15,A770+'Calculator'!$B$6)&amp;"/"&amp;MIN(15,B770+'Calculator'!$B$6)&amp;"/"&amp;MIN(15,C770+'Calculator'!$B$6)</x:f>
        <x:v>15/14/15</x:v>
      </x:c>
    </x:row>
    <x:row r="771">
      <x:c r="A771" t="n">
        <x:v>13</x:v>
      </x:c>
      <x:c r="B771" t="n">
        <x:v>12</x:v>
      </x:c>
      <x:c r="C771" t="n">
        <x:v>15</x:v>
      </x:c>
      <x:c r="D771" t="n">
        <x:f>MAX(10,ROUNDDOWN((('Calculator'!$B$10+A771)*SQRT('Calculator'!$B$11+B771)*SQRT('Calculator'!$B$12+C771)*0.59740001^2)/10,0))</x:f>
        <x:v>2354</x:v>
      </x:c>
      <x:c r="E771" t="n">
        <x:f>MAX(10,ROUNDDOWN((('Calculator'!$B$10+A771)*SQRT('Calculator'!$B$11+B771)*SQRT('Calculator'!$B$12+C771)*0.667934^2)/10,0))</x:f>
        <x:v>2943</x:v>
      </x:c>
      <x:c r="F771" t="n">
        <x:f>--AND(A771&gt;='Calculator'!$B$5,B771&gt;='Calculator'!$B$5,C771&gt;='Calculator'!$B$5)</x:f>
        <x:v>1</x:v>
      </x:c>
      <x:c r="G771" t="n">
        <x:f>--AND(A771+'Calculator'!$B$6&gt;=15,B771+'Calculator'!$B$6&gt;=15,C771+'Calculator'!$B$6&gt;=15)</x:f>
        <x:v>0</x:v>
      </x:c>
      <x:c r="H771" t="n">
        <x:f>--AND(F771=1,D771='Calculator'!$B$4)</x:f>
        <x:v>0</x:v>
      </x:c>
      <x:c r="I771" t="n">
        <x:f>--AND(H771=1,G771=1)</x:f>
        <x:v>0</x:v>
      </x:c>
      <x:c r="J771" t="n">
        <x:f>--AND(F771=1,E771='Calculator'!$B$4)</x:f>
        <x:v>0</x:v>
      </x:c>
      <x:c r="K771" t="n">
        <x:f>--AND(J771=1,G771=1)</x:f>
        <x:v>0</x:v>
      </x:c>
      <x:c r="L771" t="str">
        <x:f>A771&amp;"/"&amp;B771&amp;"/"&amp;C771</x:f>
        <x:v>13/12/15</x:v>
      </x:c>
      <x:c r="M771" t="str">
        <x:f>MIN(15,A771+'Calculator'!$B$6)&amp;"/"&amp;MIN(15,B771+'Calculator'!$B$6)&amp;"/"&amp;MIN(15,C771+'Calculator'!$B$6)</x:f>
        <x:v>15/14/15</x:v>
      </x:c>
    </x:row>
    <x:row r="772">
      <x:c r="A772" t="n">
        <x:v>13</x:v>
      </x:c>
      <x:c r="B772" t="n">
        <x:v>13</x:v>
      </x:c>
      <x:c r="C772" t="n">
        <x:v>6</x:v>
      </x:c>
      <x:c r="D772" t="n">
        <x:f>MAX(10,ROUNDDOWN((('Calculator'!$B$10+A772)*SQRT('Calculator'!$B$11+B772)*SQRT('Calculator'!$B$12+C772)*0.59740001^2)/10,0))</x:f>
        <x:v>2313</x:v>
      </x:c>
      <x:c r="E772" t="n">
        <x:f>MAX(10,ROUNDDOWN((('Calculator'!$B$10+A772)*SQRT('Calculator'!$B$11+B772)*SQRT('Calculator'!$B$12+C772)*0.667934^2)/10,0))</x:f>
        <x:v>2892</x:v>
      </x:c>
      <x:c r="F772" t="n">
        <x:f>--AND(A772&gt;='Calculator'!$B$5,B772&gt;='Calculator'!$B$5,C772&gt;='Calculator'!$B$5)</x:f>
        <x:v>1</x:v>
      </x:c>
      <x:c r="G772" t="n">
        <x:f>--AND(A772+'Calculator'!$B$6&gt;=15,B772+'Calculator'!$B$6&gt;=15,C772+'Calculator'!$B$6&gt;=15)</x:f>
        <x:v>0</x:v>
      </x:c>
      <x:c r="H772" t="n">
        <x:f>--AND(F772=1,D772='Calculator'!$B$4)</x:f>
        <x:v>0</x:v>
      </x:c>
      <x:c r="I772" t="n">
        <x:f>--AND(H772=1,G772=1)</x:f>
        <x:v>0</x:v>
      </x:c>
      <x:c r="J772" t="n">
        <x:f>--AND(F772=1,E772='Calculator'!$B$4)</x:f>
        <x:v>0</x:v>
      </x:c>
      <x:c r="K772" t="n">
        <x:f>--AND(J772=1,G772=1)</x:f>
        <x:v>0</x:v>
      </x:c>
      <x:c r="L772" t="str">
        <x:f>A772&amp;"/"&amp;B772&amp;"/"&amp;C772</x:f>
        <x:v>13/13/6</x:v>
      </x:c>
      <x:c r="M772" t="str">
        <x:f>MIN(15,A772+'Calculator'!$B$6)&amp;"/"&amp;MIN(15,B772+'Calculator'!$B$6)&amp;"/"&amp;MIN(15,C772+'Calculator'!$B$6)</x:f>
        <x:v>15/15/8</x:v>
      </x:c>
    </x:row>
    <x:row r="773">
      <x:c r="A773" t="n">
        <x:v>13</x:v>
      </x:c>
      <x:c r="B773" t="n">
        <x:v>13</x:v>
      </x:c>
      <x:c r="C773" t="n">
        <x:v>7</x:v>
      </x:c>
      <x:c r="D773" t="n">
        <x:f>MAX(10,ROUNDDOWN((('Calculator'!$B$10+A773)*SQRT('Calculator'!$B$11+B773)*SQRT('Calculator'!$B$12+C773)*0.59740001^2)/10,0))</x:f>
        <x:v>2318</x:v>
      </x:c>
      <x:c r="E773" t="n">
        <x:f>MAX(10,ROUNDDOWN((('Calculator'!$B$10+A773)*SQRT('Calculator'!$B$11+B773)*SQRT('Calculator'!$B$12+C773)*0.667934^2)/10,0))</x:f>
        <x:v>2898</x:v>
      </x:c>
      <x:c r="F773" t="n">
        <x:f>--AND(A773&gt;='Calculator'!$B$5,B773&gt;='Calculator'!$B$5,C773&gt;='Calculator'!$B$5)</x:f>
        <x:v>1</x:v>
      </x:c>
      <x:c r="G773" t="n">
        <x:f>--AND(A773+'Calculator'!$B$6&gt;=15,B773+'Calculator'!$B$6&gt;=15,C773+'Calculator'!$B$6&gt;=15)</x:f>
        <x:v>0</x:v>
      </x:c>
      <x:c r="H773" t="n">
        <x:f>--AND(F773=1,D773='Calculator'!$B$4)</x:f>
        <x:v>0</x:v>
      </x:c>
      <x:c r="I773" t="n">
        <x:f>--AND(H773=1,G773=1)</x:f>
        <x:v>0</x:v>
      </x:c>
      <x:c r="J773" t="n">
        <x:f>--AND(F773=1,E773='Calculator'!$B$4)</x:f>
        <x:v>0</x:v>
      </x:c>
      <x:c r="K773" t="n">
        <x:f>--AND(J773=1,G773=1)</x:f>
        <x:v>0</x:v>
      </x:c>
      <x:c r="L773" t="str">
        <x:f>A773&amp;"/"&amp;B773&amp;"/"&amp;C773</x:f>
        <x:v>13/13/7</x:v>
      </x:c>
      <x:c r="M773" t="str">
        <x:f>MIN(15,A773+'Calculator'!$B$6)&amp;"/"&amp;MIN(15,B773+'Calculator'!$B$6)&amp;"/"&amp;MIN(15,C773+'Calculator'!$B$6)</x:f>
        <x:v>15/15/9</x:v>
      </x:c>
    </x:row>
    <x:row r="774">
      <x:c r="A774" t="n">
        <x:v>13</x:v>
      </x:c>
      <x:c r="B774" t="n">
        <x:v>13</x:v>
      </x:c>
      <x:c r="C774" t="n">
        <x:v>8</x:v>
      </x:c>
      <x:c r="D774" t="n">
        <x:f>MAX(10,ROUNDDOWN((('Calculator'!$B$10+A774)*SQRT('Calculator'!$B$11+B774)*SQRT('Calculator'!$B$12+C774)*0.59740001^2)/10,0))</x:f>
        <x:v>2324</x:v>
      </x:c>
      <x:c r="E774" t="n">
        <x:f>MAX(10,ROUNDDOWN((('Calculator'!$B$10+A774)*SQRT('Calculator'!$B$11+B774)*SQRT('Calculator'!$B$12+C774)*0.667934^2)/10,0))</x:f>
        <x:v>2905</x:v>
      </x:c>
      <x:c r="F774" t="n">
        <x:f>--AND(A774&gt;='Calculator'!$B$5,B774&gt;='Calculator'!$B$5,C774&gt;='Calculator'!$B$5)</x:f>
        <x:v>1</x:v>
      </x:c>
      <x:c r="G774" t="n">
        <x:f>--AND(A774+'Calculator'!$B$6&gt;=15,B774+'Calculator'!$B$6&gt;=15,C774+'Calculator'!$B$6&gt;=15)</x:f>
        <x:v>0</x:v>
      </x:c>
      <x:c r="H774" t="n">
        <x:f>--AND(F774=1,D774='Calculator'!$B$4)</x:f>
        <x:v>0</x:v>
      </x:c>
      <x:c r="I774" t="n">
        <x:f>--AND(H774=1,G774=1)</x:f>
        <x:v>0</x:v>
      </x:c>
      <x:c r="J774" t="n">
        <x:f>--AND(F774=1,E774='Calculator'!$B$4)</x:f>
        <x:v>0</x:v>
      </x:c>
      <x:c r="K774" t="n">
        <x:f>--AND(J774=1,G774=1)</x:f>
        <x:v>0</x:v>
      </x:c>
      <x:c r="L774" t="str">
        <x:f>A774&amp;"/"&amp;B774&amp;"/"&amp;C774</x:f>
        <x:v>13/13/8</x:v>
      </x:c>
      <x:c r="M774" t="str">
        <x:f>MIN(15,A774+'Calculator'!$B$6)&amp;"/"&amp;MIN(15,B774+'Calculator'!$B$6)&amp;"/"&amp;MIN(15,C774+'Calculator'!$B$6)</x:f>
        <x:v>15/15/10</x:v>
      </x:c>
    </x:row>
    <x:row r="775">
      <x:c r="A775" t="n">
        <x:v>13</x:v>
      </x:c>
      <x:c r="B775" t="n">
        <x:v>13</x:v>
      </x:c>
      <x:c r="C775" t="n">
        <x:v>9</x:v>
      </x:c>
      <x:c r="D775" t="n">
        <x:f>MAX(10,ROUNDDOWN((('Calculator'!$B$10+A775)*SQRT('Calculator'!$B$11+B775)*SQRT('Calculator'!$B$12+C775)*0.59740001^2)/10,0))</x:f>
        <x:v>2329</x:v>
      </x:c>
      <x:c r="E775" t="n">
        <x:f>MAX(10,ROUNDDOWN((('Calculator'!$B$10+A775)*SQRT('Calculator'!$B$11+B775)*SQRT('Calculator'!$B$12+C775)*0.667934^2)/10,0))</x:f>
        <x:v>2911</x:v>
      </x:c>
      <x:c r="F775" t="n">
        <x:f>--AND(A775&gt;='Calculator'!$B$5,B775&gt;='Calculator'!$B$5,C775&gt;='Calculator'!$B$5)</x:f>
        <x:v>1</x:v>
      </x:c>
      <x:c r="G775" t="n">
        <x:f>--AND(A775+'Calculator'!$B$6&gt;=15,B775+'Calculator'!$B$6&gt;=15,C775+'Calculator'!$B$6&gt;=15)</x:f>
        <x:v>0</x:v>
      </x:c>
      <x:c r="H775" t="n">
        <x:f>--AND(F775=1,D775='Calculator'!$B$4)</x:f>
        <x:v>0</x:v>
      </x:c>
      <x:c r="I775" t="n">
        <x:f>--AND(H775=1,G775=1)</x:f>
        <x:v>0</x:v>
      </x:c>
      <x:c r="J775" t="n">
        <x:f>--AND(F775=1,E775='Calculator'!$B$4)</x:f>
        <x:v>0</x:v>
      </x:c>
      <x:c r="K775" t="n">
        <x:f>--AND(J775=1,G775=1)</x:f>
        <x:v>0</x:v>
      </x:c>
      <x:c r="L775" t="str">
        <x:f>A775&amp;"/"&amp;B775&amp;"/"&amp;C775</x:f>
        <x:v>13/13/9</x:v>
      </x:c>
      <x:c r="M775" t="str">
        <x:f>MIN(15,A775+'Calculator'!$B$6)&amp;"/"&amp;MIN(15,B775+'Calculator'!$B$6)&amp;"/"&amp;MIN(15,C775+'Calculator'!$B$6)</x:f>
        <x:v>15/15/11</x:v>
      </x:c>
    </x:row>
    <x:row r="776">
      <x:c r="A776" t="n">
        <x:v>13</x:v>
      </x:c>
      <x:c r="B776" t="n">
        <x:v>13</x:v>
      </x:c>
      <x:c r="C776" t="n">
        <x:v>10</x:v>
      </x:c>
      <x:c r="D776" t="n">
        <x:f>MAX(10,ROUNDDOWN((('Calculator'!$B$10+A776)*SQRT('Calculator'!$B$11+B776)*SQRT('Calculator'!$B$12+C776)*0.59740001^2)/10,0))</x:f>
        <x:v>2334</x:v>
      </x:c>
      <x:c r="E776" t="n">
        <x:f>MAX(10,ROUNDDOWN((('Calculator'!$B$10+A776)*SQRT('Calculator'!$B$11+B776)*SQRT('Calculator'!$B$12+C776)*0.667934^2)/10,0))</x:f>
        <x:v>2918</x:v>
      </x:c>
      <x:c r="F776" t="n">
        <x:f>--AND(A776&gt;='Calculator'!$B$5,B776&gt;='Calculator'!$B$5,C776&gt;='Calculator'!$B$5)</x:f>
        <x:v>1</x:v>
      </x:c>
      <x:c r="G776" t="n">
        <x:f>--AND(A776+'Calculator'!$B$6&gt;=15,B776+'Calculator'!$B$6&gt;=15,C776+'Calculator'!$B$6&gt;=15)</x:f>
        <x:v>0</x:v>
      </x:c>
      <x:c r="H776" t="n">
        <x:f>--AND(F776=1,D776='Calculator'!$B$4)</x:f>
        <x:v>0</x:v>
      </x:c>
      <x:c r="I776" t="n">
        <x:f>--AND(H776=1,G776=1)</x:f>
        <x:v>0</x:v>
      </x:c>
      <x:c r="J776" t="n">
        <x:f>--AND(F776=1,E776='Calculator'!$B$4)</x:f>
        <x:v>0</x:v>
      </x:c>
      <x:c r="K776" t="n">
        <x:f>--AND(J776=1,G776=1)</x:f>
        <x:v>0</x:v>
      </x:c>
      <x:c r="L776" t="str">
        <x:f>A776&amp;"/"&amp;B776&amp;"/"&amp;C776</x:f>
        <x:v>13/13/10</x:v>
      </x:c>
      <x:c r="M776" t="str">
        <x:f>MIN(15,A776+'Calculator'!$B$6)&amp;"/"&amp;MIN(15,B776+'Calculator'!$B$6)&amp;"/"&amp;MIN(15,C776+'Calculator'!$B$6)</x:f>
        <x:v>15/15/12</x:v>
      </x:c>
    </x:row>
    <x:row r="777">
      <x:c r="A777" t="n">
        <x:v>13</x:v>
      </x:c>
      <x:c r="B777" t="n">
        <x:v>13</x:v>
      </x:c>
      <x:c r="C777" t="n">
        <x:v>11</x:v>
      </x:c>
      <x:c r="D777" t="n">
        <x:f>MAX(10,ROUNDDOWN((('Calculator'!$B$10+A777)*SQRT('Calculator'!$B$11+B777)*SQRT('Calculator'!$B$12+C777)*0.59740001^2)/10,0))</x:f>
        <x:v>2339</x:v>
      </x:c>
      <x:c r="E777" t="n">
        <x:f>MAX(10,ROUNDDOWN((('Calculator'!$B$10+A777)*SQRT('Calculator'!$B$11+B777)*SQRT('Calculator'!$B$12+C777)*0.667934^2)/10,0))</x:f>
        <x:v>2924</x:v>
      </x:c>
      <x:c r="F777" t="n">
        <x:f>--AND(A777&gt;='Calculator'!$B$5,B777&gt;='Calculator'!$B$5,C777&gt;='Calculator'!$B$5)</x:f>
        <x:v>1</x:v>
      </x:c>
      <x:c r="G777" t="n">
        <x:f>--AND(A777+'Calculator'!$B$6&gt;=15,B777+'Calculator'!$B$6&gt;=15,C777+'Calculator'!$B$6&gt;=15)</x:f>
        <x:v>0</x:v>
      </x:c>
      <x:c r="H777" t="n">
        <x:f>--AND(F777=1,D777='Calculator'!$B$4)</x:f>
        <x:v>0</x:v>
      </x:c>
      <x:c r="I777" t="n">
        <x:f>--AND(H777=1,G777=1)</x:f>
        <x:v>0</x:v>
      </x:c>
      <x:c r="J777" t="n">
        <x:f>--AND(F777=1,E777='Calculator'!$B$4)</x:f>
        <x:v>0</x:v>
      </x:c>
      <x:c r="K777" t="n">
        <x:f>--AND(J777=1,G777=1)</x:f>
        <x:v>0</x:v>
      </x:c>
      <x:c r="L777" t="str">
        <x:f>A777&amp;"/"&amp;B777&amp;"/"&amp;C777</x:f>
        <x:v>13/13/11</x:v>
      </x:c>
      <x:c r="M777" t="str">
        <x:f>MIN(15,A777+'Calculator'!$B$6)&amp;"/"&amp;MIN(15,B777+'Calculator'!$B$6)&amp;"/"&amp;MIN(15,C777+'Calculator'!$B$6)</x:f>
        <x:v>15/15/13</x:v>
      </x:c>
    </x:row>
    <x:row r="778">
      <x:c r="A778" t="n">
        <x:v>13</x:v>
      </x:c>
      <x:c r="B778" t="n">
        <x:v>13</x:v>
      </x:c>
      <x:c r="C778" t="n">
        <x:v>12</x:v>
      </x:c>
      <x:c r="D778" t="n">
        <x:f>MAX(10,ROUNDDOWN((('Calculator'!$B$10+A778)*SQRT('Calculator'!$B$11+B778)*SQRT('Calculator'!$B$12+C778)*0.59740001^2)/10,0))</x:f>
        <x:v>2345</x:v>
      </x:c>
      <x:c r="E778" t="n">
        <x:f>MAX(10,ROUNDDOWN((('Calculator'!$B$10+A778)*SQRT('Calculator'!$B$11+B778)*SQRT('Calculator'!$B$12+C778)*0.667934^2)/10,0))</x:f>
        <x:v>2931</x:v>
      </x:c>
      <x:c r="F778" t="n">
        <x:f>--AND(A778&gt;='Calculator'!$B$5,B778&gt;='Calculator'!$B$5,C778&gt;='Calculator'!$B$5)</x:f>
        <x:v>1</x:v>
      </x:c>
      <x:c r="G778" t="n">
        <x:f>--AND(A778+'Calculator'!$B$6&gt;=15,B778+'Calculator'!$B$6&gt;=15,C778+'Calculator'!$B$6&gt;=15)</x:f>
        <x:v>0</x:v>
      </x:c>
      <x:c r="H778" t="n">
        <x:f>--AND(F778=1,D778='Calculator'!$B$4)</x:f>
        <x:v>0</x:v>
      </x:c>
      <x:c r="I778" t="n">
        <x:f>--AND(H778=1,G778=1)</x:f>
        <x:v>0</x:v>
      </x:c>
      <x:c r="J778" t="n">
        <x:f>--AND(F778=1,E778='Calculator'!$B$4)</x:f>
        <x:v>0</x:v>
      </x:c>
      <x:c r="K778" t="n">
        <x:f>--AND(J778=1,G778=1)</x:f>
        <x:v>0</x:v>
      </x:c>
      <x:c r="L778" t="str">
        <x:f>A778&amp;"/"&amp;B778&amp;"/"&amp;C778</x:f>
        <x:v>13/13/12</x:v>
      </x:c>
      <x:c r="M778" t="str">
        <x:f>MIN(15,A778+'Calculator'!$B$6)&amp;"/"&amp;MIN(15,B778+'Calculator'!$B$6)&amp;"/"&amp;MIN(15,C778+'Calculator'!$B$6)</x:f>
        <x:v>15/15/14</x:v>
      </x:c>
    </x:row>
    <x:row r="779">
      <x:c r="A779" t="n">
        <x:v>13</x:v>
      </x:c>
      <x:c r="B779" t="n">
        <x:v>13</x:v>
      </x:c>
      <x:c r="C779" t="n">
        <x:v>13</x:v>
      </x:c>
      <x:c r="D779" t="n">
        <x:f>MAX(10,ROUNDDOWN((('Calculator'!$B$10+A779)*SQRT('Calculator'!$B$11+B779)*SQRT('Calculator'!$B$12+C779)*0.59740001^2)/10,0))</x:f>
        <x:v>2350</x:v>
      </x:c>
      <x:c r="E779" t="n">
        <x:f>MAX(10,ROUNDDOWN((('Calculator'!$B$10+A779)*SQRT('Calculator'!$B$11+B779)*SQRT('Calculator'!$B$12+C779)*0.667934^2)/10,0))</x:f>
        <x:v>2937</x:v>
      </x:c>
      <x:c r="F779" t="n">
        <x:f>--AND(A779&gt;='Calculator'!$B$5,B779&gt;='Calculator'!$B$5,C779&gt;='Calculator'!$B$5)</x:f>
        <x:v>1</x:v>
      </x:c>
      <x:c r="G779" t="n">
        <x:f>--AND(A779+'Calculator'!$B$6&gt;=15,B779+'Calculator'!$B$6&gt;=15,C779+'Calculator'!$B$6&gt;=15)</x:f>
        <x:v>1</x:v>
      </x:c>
      <x:c r="H779" t="n">
        <x:f>--AND(F779=1,D779='Calculator'!$B$4)</x:f>
        <x:v>0</x:v>
      </x:c>
      <x:c r="I779" t="n">
        <x:f>--AND(H779=1,G779=1)</x:f>
        <x:v>0</x:v>
      </x:c>
      <x:c r="J779" t="n">
        <x:f>--AND(F779=1,E779='Calculator'!$B$4)</x:f>
        <x:v>0</x:v>
      </x:c>
      <x:c r="K779" t="n">
        <x:f>--AND(J779=1,G779=1)</x:f>
        <x:v>0</x:v>
      </x:c>
      <x:c r="L779" t="str">
        <x:f>A779&amp;"/"&amp;B779&amp;"/"&amp;C779</x:f>
        <x:v>13/13/13</x:v>
      </x:c>
      <x:c r="M779" t="str">
        <x:f>MIN(15,A779+'Calculator'!$B$6)&amp;"/"&amp;MIN(15,B779+'Calculator'!$B$6)&amp;"/"&amp;MIN(15,C779+'Calculator'!$B$6)</x:f>
        <x:v>15/15/15</x:v>
      </x:c>
    </x:row>
    <x:row r="780">
      <x:c r="A780" t="n">
        <x:v>13</x:v>
      </x:c>
      <x:c r="B780" t="n">
        <x:v>13</x:v>
      </x:c>
      <x:c r="C780" t="n">
        <x:v>14</x:v>
      </x:c>
      <x:c r="D780" t="n">
        <x:f>MAX(10,ROUNDDOWN((('Calculator'!$B$10+A780)*SQRT('Calculator'!$B$11+B780)*SQRT('Calculator'!$B$12+C780)*0.59740001^2)/10,0))</x:f>
        <x:v>2355</x:v>
      </x:c>
      <x:c r="E780" t="n">
        <x:f>MAX(10,ROUNDDOWN((('Calculator'!$B$10+A780)*SQRT('Calculator'!$B$11+B780)*SQRT('Calculator'!$B$12+C780)*0.667934^2)/10,0))</x:f>
        <x:v>2944</x:v>
      </x:c>
      <x:c r="F780" t="n">
        <x:f>--AND(A780&gt;='Calculator'!$B$5,B780&gt;='Calculator'!$B$5,C780&gt;='Calculator'!$B$5)</x:f>
        <x:v>1</x:v>
      </x:c>
      <x:c r="G780" t="n">
        <x:f>--AND(A780+'Calculator'!$B$6&gt;=15,B780+'Calculator'!$B$6&gt;=15,C780+'Calculator'!$B$6&gt;=15)</x:f>
        <x:v>1</x:v>
      </x:c>
      <x:c r="H780" t="n">
        <x:f>--AND(F780=1,D780='Calculator'!$B$4)</x:f>
        <x:v>0</x:v>
      </x:c>
      <x:c r="I780" t="n">
        <x:f>--AND(H780=1,G780=1)</x:f>
        <x:v>0</x:v>
      </x:c>
      <x:c r="J780" t="n">
        <x:f>--AND(F780=1,E780='Calculator'!$B$4)</x:f>
        <x:v>0</x:v>
      </x:c>
      <x:c r="K780" t="n">
        <x:f>--AND(J780=1,G780=1)</x:f>
        <x:v>0</x:v>
      </x:c>
      <x:c r="L780" t="str">
        <x:f>A780&amp;"/"&amp;B780&amp;"/"&amp;C780</x:f>
        <x:v>13/13/14</x:v>
      </x:c>
      <x:c r="M780" t="str">
        <x:f>MIN(15,A780+'Calculator'!$B$6)&amp;"/"&amp;MIN(15,B780+'Calculator'!$B$6)&amp;"/"&amp;MIN(15,C780+'Calculator'!$B$6)</x:f>
        <x:v>15/15/15</x:v>
      </x:c>
    </x:row>
    <x:row r="781">
      <x:c r="A781" t="n">
        <x:v>13</x:v>
      </x:c>
      <x:c r="B781" t="n">
        <x:v>13</x:v>
      </x:c>
      <x:c r="C781" t="n">
        <x:v>15</x:v>
      </x:c>
      <x:c r="D781" t="n">
        <x:f>MAX(10,ROUNDDOWN((('Calculator'!$B$10+A781)*SQRT('Calculator'!$B$11+B781)*SQRT('Calculator'!$B$12+C781)*0.59740001^2)/10,0))</x:f>
        <x:v>2360</x:v>
      </x:c>
      <x:c r="E781" t="n">
        <x:f>MAX(10,ROUNDDOWN((('Calculator'!$B$10+A781)*SQRT('Calculator'!$B$11+B781)*SQRT('Calculator'!$B$12+C781)*0.667934^2)/10,0))</x:f>
        <x:v>2950</x:v>
      </x:c>
      <x:c r="F781" t="n">
        <x:f>--AND(A781&gt;='Calculator'!$B$5,B781&gt;='Calculator'!$B$5,C781&gt;='Calculator'!$B$5)</x:f>
        <x:v>1</x:v>
      </x:c>
      <x:c r="G781" t="n">
        <x:f>--AND(A781+'Calculator'!$B$6&gt;=15,B781+'Calculator'!$B$6&gt;=15,C781+'Calculator'!$B$6&gt;=15)</x:f>
        <x:v>1</x:v>
      </x:c>
      <x:c r="H781" t="n">
        <x:f>--AND(F781=1,D781='Calculator'!$B$4)</x:f>
        <x:v>0</x:v>
      </x:c>
      <x:c r="I781" t="n">
        <x:f>--AND(H781=1,G781=1)</x:f>
        <x:v>0</x:v>
      </x:c>
      <x:c r="J781" t="n">
        <x:f>--AND(F781=1,E781='Calculator'!$B$4)</x:f>
        <x:v>0</x:v>
      </x:c>
      <x:c r="K781" t="n">
        <x:f>--AND(J781=1,G781=1)</x:f>
        <x:v>0</x:v>
      </x:c>
      <x:c r="L781" t="str">
        <x:f>A781&amp;"/"&amp;B781&amp;"/"&amp;C781</x:f>
        <x:v>13/13/15</x:v>
      </x:c>
      <x:c r="M781" t="str">
        <x:f>MIN(15,A781+'Calculator'!$B$6)&amp;"/"&amp;MIN(15,B781+'Calculator'!$B$6)&amp;"/"&amp;MIN(15,C781+'Calculator'!$B$6)</x:f>
        <x:v>15/15/15</x:v>
      </x:c>
    </x:row>
    <x:row r="782">
      <x:c r="A782" t="n">
        <x:v>13</x:v>
      </x:c>
      <x:c r="B782" t="n">
        <x:v>14</x:v>
      </x:c>
      <x:c r="C782" t="n">
        <x:v>6</x:v>
      </x:c>
      <x:c r="D782" t="n">
        <x:f>MAX(10,ROUNDDOWN((('Calculator'!$B$10+A782)*SQRT('Calculator'!$B$11+B782)*SQRT('Calculator'!$B$12+C782)*0.59740001^2)/10,0))</x:f>
        <x:v>2319</x:v>
      </x:c>
      <x:c r="E782" t="n">
        <x:f>MAX(10,ROUNDDOWN((('Calculator'!$B$10+A782)*SQRT('Calculator'!$B$11+B782)*SQRT('Calculator'!$B$12+C782)*0.667934^2)/10,0))</x:f>
        <x:v>2899</x:v>
      </x:c>
      <x:c r="F782" t="n">
        <x:f>--AND(A782&gt;='Calculator'!$B$5,B782&gt;='Calculator'!$B$5,C782&gt;='Calculator'!$B$5)</x:f>
        <x:v>1</x:v>
      </x:c>
      <x:c r="G782" t="n">
        <x:f>--AND(A782+'Calculator'!$B$6&gt;=15,B782+'Calculator'!$B$6&gt;=15,C782+'Calculator'!$B$6&gt;=15)</x:f>
        <x:v>0</x:v>
      </x:c>
      <x:c r="H782" t="n">
        <x:f>--AND(F782=1,D782='Calculator'!$B$4)</x:f>
        <x:v>0</x:v>
      </x:c>
      <x:c r="I782" t="n">
        <x:f>--AND(H782=1,G782=1)</x:f>
        <x:v>0</x:v>
      </x:c>
      <x:c r="J782" t="n">
        <x:f>--AND(F782=1,E782='Calculator'!$B$4)</x:f>
        <x:v>0</x:v>
      </x:c>
      <x:c r="K782" t="n">
        <x:f>--AND(J782=1,G782=1)</x:f>
        <x:v>0</x:v>
      </x:c>
      <x:c r="L782" t="str">
        <x:f>A782&amp;"/"&amp;B782&amp;"/"&amp;C782</x:f>
        <x:v>13/14/6</x:v>
      </x:c>
      <x:c r="M782" t="str">
        <x:f>MIN(15,A782+'Calculator'!$B$6)&amp;"/"&amp;MIN(15,B782+'Calculator'!$B$6)&amp;"/"&amp;MIN(15,C782+'Calculator'!$B$6)</x:f>
        <x:v>15/15/8</x:v>
      </x:c>
    </x:row>
    <x:row r="783">
      <x:c r="A783" t="n">
        <x:v>13</x:v>
      </x:c>
      <x:c r="B783" t="n">
        <x:v>14</x:v>
      </x:c>
      <x:c r="C783" t="n">
        <x:v>7</x:v>
      </x:c>
      <x:c r="D783" t="n">
        <x:f>MAX(10,ROUNDDOWN((('Calculator'!$B$10+A783)*SQRT('Calculator'!$B$11+B783)*SQRT('Calculator'!$B$12+C783)*0.59740001^2)/10,0))</x:f>
        <x:v>2324</x:v>
      </x:c>
      <x:c r="E783" t="n">
        <x:f>MAX(10,ROUNDDOWN((('Calculator'!$B$10+A783)*SQRT('Calculator'!$B$11+B783)*SQRT('Calculator'!$B$12+C783)*0.667934^2)/10,0))</x:f>
        <x:v>2906</x:v>
      </x:c>
      <x:c r="F783" t="n">
        <x:f>--AND(A783&gt;='Calculator'!$B$5,B783&gt;='Calculator'!$B$5,C783&gt;='Calculator'!$B$5)</x:f>
        <x:v>1</x:v>
      </x:c>
      <x:c r="G783" t="n">
        <x:f>--AND(A783+'Calculator'!$B$6&gt;=15,B783+'Calculator'!$B$6&gt;=15,C783+'Calculator'!$B$6&gt;=15)</x:f>
        <x:v>0</x:v>
      </x:c>
      <x:c r="H783" t="n">
        <x:f>--AND(F783=1,D783='Calculator'!$B$4)</x:f>
        <x:v>0</x:v>
      </x:c>
      <x:c r="I783" t="n">
        <x:f>--AND(H783=1,G783=1)</x:f>
        <x:v>0</x:v>
      </x:c>
      <x:c r="J783" t="n">
        <x:f>--AND(F783=1,E783='Calculator'!$B$4)</x:f>
        <x:v>0</x:v>
      </x:c>
      <x:c r="K783" t="n">
        <x:f>--AND(J783=1,G783=1)</x:f>
        <x:v>0</x:v>
      </x:c>
      <x:c r="L783" t="str">
        <x:f>A783&amp;"/"&amp;B783&amp;"/"&amp;C783</x:f>
        <x:v>13/14/7</x:v>
      </x:c>
      <x:c r="M783" t="str">
        <x:f>MIN(15,A783+'Calculator'!$B$6)&amp;"/"&amp;MIN(15,B783+'Calculator'!$B$6)&amp;"/"&amp;MIN(15,C783+'Calculator'!$B$6)</x:f>
        <x:v>15/15/9</x:v>
      </x:c>
    </x:row>
    <x:row r="784">
      <x:c r="A784" t="n">
        <x:v>13</x:v>
      </x:c>
      <x:c r="B784" t="n">
        <x:v>14</x:v>
      </x:c>
      <x:c r="C784" t="n">
        <x:v>8</x:v>
      </x:c>
      <x:c r="D784" t="n">
        <x:f>MAX(10,ROUNDDOWN((('Calculator'!$B$10+A784)*SQRT('Calculator'!$B$11+B784)*SQRT('Calculator'!$B$12+C784)*0.59740001^2)/10,0))</x:f>
        <x:v>2330</x:v>
      </x:c>
      <x:c r="E784" t="n">
        <x:f>MAX(10,ROUNDDOWN((('Calculator'!$B$10+A784)*SQRT('Calculator'!$B$11+B784)*SQRT('Calculator'!$B$12+C784)*0.667934^2)/10,0))</x:f>
        <x:v>2912</x:v>
      </x:c>
      <x:c r="F784" t="n">
        <x:f>--AND(A784&gt;='Calculator'!$B$5,B784&gt;='Calculator'!$B$5,C784&gt;='Calculator'!$B$5)</x:f>
        <x:v>1</x:v>
      </x:c>
      <x:c r="G784" t="n">
        <x:f>--AND(A784+'Calculator'!$B$6&gt;=15,B784+'Calculator'!$B$6&gt;=15,C784+'Calculator'!$B$6&gt;=15)</x:f>
        <x:v>0</x:v>
      </x:c>
      <x:c r="H784" t="n">
        <x:f>--AND(F784=1,D784='Calculator'!$B$4)</x:f>
        <x:v>0</x:v>
      </x:c>
      <x:c r="I784" t="n">
        <x:f>--AND(H784=1,G784=1)</x:f>
        <x:v>0</x:v>
      </x:c>
      <x:c r="J784" t="n">
        <x:f>--AND(F784=1,E784='Calculator'!$B$4)</x:f>
        <x:v>0</x:v>
      </x:c>
      <x:c r="K784" t="n">
        <x:f>--AND(J784=1,G784=1)</x:f>
        <x:v>0</x:v>
      </x:c>
      <x:c r="L784" t="str">
        <x:f>A784&amp;"/"&amp;B784&amp;"/"&amp;C784</x:f>
        <x:v>13/14/8</x:v>
      </x:c>
      <x:c r="M784" t="str">
        <x:f>MIN(15,A784+'Calculator'!$B$6)&amp;"/"&amp;MIN(15,B784+'Calculator'!$B$6)&amp;"/"&amp;MIN(15,C784+'Calculator'!$B$6)</x:f>
        <x:v>15/15/10</x:v>
      </x:c>
    </x:row>
    <x:row r="785">
      <x:c r="A785" t="n">
        <x:v>13</x:v>
      </x:c>
      <x:c r="B785" t="n">
        <x:v>14</x:v>
      </x:c>
      <x:c r="C785" t="n">
        <x:v>9</x:v>
      </x:c>
      <x:c r="D785" t="n">
        <x:f>MAX(10,ROUNDDOWN((('Calculator'!$B$10+A785)*SQRT('Calculator'!$B$11+B785)*SQRT('Calculator'!$B$12+C785)*0.59740001^2)/10,0))</x:f>
        <x:v>2335</x:v>
      </x:c>
      <x:c r="E785" t="n">
        <x:f>MAX(10,ROUNDDOWN((('Calculator'!$B$10+A785)*SQRT('Calculator'!$B$11+B785)*SQRT('Calculator'!$B$12+C785)*0.667934^2)/10,0))</x:f>
        <x:v>2919</x:v>
      </x:c>
      <x:c r="F785" t="n">
        <x:f>--AND(A785&gt;='Calculator'!$B$5,B785&gt;='Calculator'!$B$5,C785&gt;='Calculator'!$B$5)</x:f>
        <x:v>1</x:v>
      </x:c>
      <x:c r="G785" t="n">
        <x:f>--AND(A785+'Calculator'!$B$6&gt;=15,B785+'Calculator'!$B$6&gt;=15,C785+'Calculator'!$B$6&gt;=15)</x:f>
        <x:v>0</x:v>
      </x:c>
      <x:c r="H785" t="n">
        <x:f>--AND(F785=1,D785='Calculator'!$B$4)</x:f>
        <x:v>0</x:v>
      </x:c>
      <x:c r="I785" t="n">
        <x:f>--AND(H785=1,G785=1)</x:f>
        <x:v>0</x:v>
      </x:c>
      <x:c r="J785" t="n">
        <x:f>--AND(F785=1,E785='Calculator'!$B$4)</x:f>
        <x:v>0</x:v>
      </x:c>
      <x:c r="K785" t="n">
        <x:f>--AND(J785=1,G785=1)</x:f>
        <x:v>0</x:v>
      </x:c>
      <x:c r="L785" t="str">
        <x:f>A785&amp;"/"&amp;B785&amp;"/"&amp;C785</x:f>
        <x:v>13/14/9</x:v>
      </x:c>
      <x:c r="M785" t="str">
        <x:f>MIN(15,A785+'Calculator'!$B$6)&amp;"/"&amp;MIN(15,B785+'Calculator'!$B$6)&amp;"/"&amp;MIN(15,C785+'Calculator'!$B$6)</x:f>
        <x:v>15/15/11</x:v>
      </x:c>
    </x:row>
    <x:row r="786">
      <x:c r="A786" t="n">
        <x:v>13</x:v>
      </x:c>
      <x:c r="B786" t="n">
        <x:v>14</x:v>
      </x:c>
      <x:c r="C786" t="n">
        <x:v>10</x:v>
      </x:c>
      <x:c r="D786" t="n">
        <x:f>MAX(10,ROUNDDOWN((('Calculator'!$B$10+A786)*SQRT('Calculator'!$B$11+B786)*SQRT('Calculator'!$B$12+C786)*0.59740001^2)/10,0))</x:f>
        <x:v>2340</x:v>
      </x:c>
      <x:c r="E786" t="n">
        <x:f>MAX(10,ROUNDDOWN((('Calculator'!$B$10+A786)*SQRT('Calculator'!$B$11+B786)*SQRT('Calculator'!$B$12+C786)*0.667934^2)/10,0))</x:f>
        <x:v>2925</x:v>
      </x:c>
      <x:c r="F786" t="n">
        <x:f>--AND(A786&gt;='Calculator'!$B$5,B786&gt;='Calculator'!$B$5,C786&gt;='Calculator'!$B$5)</x:f>
        <x:v>1</x:v>
      </x:c>
      <x:c r="G786" t="n">
        <x:f>--AND(A786+'Calculator'!$B$6&gt;=15,B786+'Calculator'!$B$6&gt;=15,C786+'Calculator'!$B$6&gt;=15)</x:f>
        <x:v>0</x:v>
      </x:c>
      <x:c r="H786" t="n">
        <x:f>--AND(F786=1,D786='Calculator'!$B$4)</x:f>
        <x:v>0</x:v>
      </x:c>
      <x:c r="I786" t="n">
        <x:f>--AND(H786=1,G786=1)</x:f>
        <x:v>0</x:v>
      </x:c>
      <x:c r="J786" t="n">
        <x:f>--AND(F786=1,E786='Calculator'!$B$4)</x:f>
        <x:v>0</x:v>
      </x:c>
      <x:c r="K786" t="n">
        <x:f>--AND(J786=1,G786=1)</x:f>
        <x:v>0</x:v>
      </x:c>
      <x:c r="L786" t="str">
        <x:f>A786&amp;"/"&amp;B786&amp;"/"&amp;C786</x:f>
        <x:v>13/14/10</x:v>
      </x:c>
      <x:c r="M786" t="str">
        <x:f>MIN(15,A786+'Calculator'!$B$6)&amp;"/"&amp;MIN(15,B786+'Calculator'!$B$6)&amp;"/"&amp;MIN(15,C786+'Calculator'!$B$6)</x:f>
        <x:v>15/15/12</x:v>
      </x:c>
    </x:row>
    <x:row r="787">
      <x:c r="A787" t="n">
        <x:v>13</x:v>
      </x:c>
      <x:c r="B787" t="n">
        <x:v>14</x:v>
      </x:c>
      <x:c r="C787" t="n">
        <x:v>11</x:v>
      </x:c>
      <x:c r="D787" t="n">
        <x:f>MAX(10,ROUNDDOWN((('Calculator'!$B$10+A787)*SQRT('Calculator'!$B$11+B787)*SQRT('Calculator'!$B$12+C787)*0.59740001^2)/10,0))</x:f>
        <x:v>2345</x:v>
      </x:c>
      <x:c r="E787" t="n">
        <x:f>MAX(10,ROUNDDOWN((('Calculator'!$B$10+A787)*SQRT('Calculator'!$B$11+B787)*SQRT('Calculator'!$B$12+C787)*0.667934^2)/10,0))</x:f>
        <x:v>2932</x:v>
      </x:c>
      <x:c r="F787" t="n">
        <x:f>--AND(A787&gt;='Calculator'!$B$5,B787&gt;='Calculator'!$B$5,C787&gt;='Calculator'!$B$5)</x:f>
        <x:v>1</x:v>
      </x:c>
      <x:c r="G787" t="n">
        <x:f>--AND(A787+'Calculator'!$B$6&gt;=15,B787+'Calculator'!$B$6&gt;=15,C787+'Calculator'!$B$6&gt;=15)</x:f>
        <x:v>0</x:v>
      </x:c>
      <x:c r="H787" t="n">
        <x:f>--AND(F787=1,D787='Calculator'!$B$4)</x:f>
        <x:v>0</x:v>
      </x:c>
      <x:c r="I787" t="n">
        <x:f>--AND(H787=1,G787=1)</x:f>
        <x:v>0</x:v>
      </x:c>
      <x:c r="J787" t="n">
        <x:f>--AND(F787=1,E787='Calculator'!$B$4)</x:f>
        <x:v>0</x:v>
      </x:c>
      <x:c r="K787" t="n">
        <x:f>--AND(J787=1,G787=1)</x:f>
        <x:v>0</x:v>
      </x:c>
      <x:c r="L787" t="str">
        <x:f>A787&amp;"/"&amp;B787&amp;"/"&amp;C787</x:f>
        <x:v>13/14/11</x:v>
      </x:c>
      <x:c r="M787" t="str">
        <x:f>MIN(15,A787+'Calculator'!$B$6)&amp;"/"&amp;MIN(15,B787+'Calculator'!$B$6)&amp;"/"&amp;MIN(15,C787+'Calculator'!$B$6)</x:f>
        <x:v>15/15/13</x:v>
      </x:c>
    </x:row>
    <x:row r="788">
      <x:c r="A788" t="n">
        <x:v>13</x:v>
      </x:c>
      <x:c r="B788" t="n">
        <x:v>14</x:v>
      </x:c>
      <x:c r="C788" t="n">
        <x:v>12</x:v>
      </x:c>
      <x:c r="D788" t="n">
        <x:f>MAX(10,ROUNDDOWN((('Calculator'!$B$10+A788)*SQRT('Calculator'!$B$11+B788)*SQRT('Calculator'!$B$12+C788)*0.59740001^2)/10,0))</x:f>
        <x:v>2351</x:v>
      </x:c>
      <x:c r="E788" t="n">
        <x:f>MAX(10,ROUNDDOWN((('Calculator'!$B$10+A788)*SQRT('Calculator'!$B$11+B788)*SQRT('Calculator'!$B$12+C788)*0.667934^2)/10,0))</x:f>
        <x:v>2938</x:v>
      </x:c>
      <x:c r="F788" t="n">
        <x:f>--AND(A788&gt;='Calculator'!$B$5,B788&gt;='Calculator'!$B$5,C788&gt;='Calculator'!$B$5)</x:f>
        <x:v>1</x:v>
      </x:c>
      <x:c r="G788" t="n">
        <x:f>--AND(A788+'Calculator'!$B$6&gt;=15,B788+'Calculator'!$B$6&gt;=15,C788+'Calculator'!$B$6&gt;=15)</x:f>
        <x:v>0</x:v>
      </x:c>
      <x:c r="H788" t="n">
        <x:f>--AND(F788=1,D788='Calculator'!$B$4)</x:f>
        <x:v>0</x:v>
      </x:c>
      <x:c r="I788" t="n">
        <x:f>--AND(H788=1,G788=1)</x:f>
        <x:v>0</x:v>
      </x:c>
      <x:c r="J788" t="n">
        <x:f>--AND(F788=1,E788='Calculator'!$B$4)</x:f>
        <x:v>0</x:v>
      </x:c>
      <x:c r="K788" t="n">
        <x:f>--AND(J788=1,G788=1)</x:f>
        <x:v>0</x:v>
      </x:c>
      <x:c r="L788" t="str">
        <x:f>A788&amp;"/"&amp;B788&amp;"/"&amp;C788</x:f>
        <x:v>13/14/12</x:v>
      </x:c>
      <x:c r="M788" t="str">
        <x:f>MIN(15,A788+'Calculator'!$B$6)&amp;"/"&amp;MIN(15,B788+'Calculator'!$B$6)&amp;"/"&amp;MIN(15,C788+'Calculator'!$B$6)</x:f>
        <x:v>15/15/14</x:v>
      </x:c>
    </x:row>
    <x:row r="789">
      <x:c r="A789" t="n">
        <x:v>13</x:v>
      </x:c>
      <x:c r="B789" t="n">
        <x:v>14</x:v>
      </x:c>
      <x:c r="C789" t="n">
        <x:v>13</x:v>
      </x:c>
      <x:c r="D789" t="n">
        <x:f>MAX(10,ROUNDDOWN((('Calculator'!$B$10+A789)*SQRT('Calculator'!$B$11+B789)*SQRT('Calculator'!$B$12+C789)*0.59740001^2)/10,0))</x:f>
        <x:v>2356</x:v>
      </x:c>
      <x:c r="E789" t="n">
        <x:f>MAX(10,ROUNDDOWN((('Calculator'!$B$10+A789)*SQRT('Calculator'!$B$11+B789)*SQRT('Calculator'!$B$12+C789)*0.667934^2)/10,0))</x:f>
        <x:v>2945</x:v>
      </x:c>
      <x:c r="F789" t="n">
        <x:f>--AND(A789&gt;='Calculator'!$B$5,B789&gt;='Calculator'!$B$5,C789&gt;='Calculator'!$B$5)</x:f>
        <x:v>1</x:v>
      </x:c>
      <x:c r="G789" t="n">
        <x:f>--AND(A789+'Calculator'!$B$6&gt;=15,B789+'Calculator'!$B$6&gt;=15,C789+'Calculator'!$B$6&gt;=15)</x:f>
        <x:v>1</x:v>
      </x:c>
      <x:c r="H789" t="n">
        <x:f>--AND(F789=1,D789='Calculator'!$B$4)</x:f>
        <x:v>0</x:v>
      </x:c>
      <x:c r="I789" t="n">
        <x:f>--AND(H789=1,G789=1)</x:f>
        <x:v>0</x:v>
      </x:c>
      <x:c r="J789" t="n">
        <x:f>--AND(F789=1,E789='Calculator'!$B$4)</x:f>
        <x:v>0</x:v>
      </x:c>
      <x:c r="K789" t="n">
        <x:f>--AND(J789=1,G789=1)</x:f>
        <x:v>0</x:v>
      </x:c>
      <x:c r="L789" t="str">
        <x:f>A789&amp;"/"&amp;B789&amp;"/"&amp;C789</x:f>
        <x:v>13/14/13</x:v>
      </x:c>
      <x:c r="M789" t="str">
        <x:f>MIN(15,A789+'Calculator'!$B$6)&amp;"/"&amp;MIN(15,B789+'Calculator'!$B$6)&amp;"/"&amp;MIN(15,C789+'Calculator'!$B$6)</x:f>
        <x:v>15/15/15</x:v>
      </x:c>
    </x:row>
    <x:row r="790">
      <x:c r="A790" t="n">
        <x:v>13</x:v>
      </x:c>
      <x:c r="B790" t="n">
        <x:v>14</x:v>
      </x:c>
      <x:c r="C790" t="n">
        <x:v>14</x:v>
      </x:c>
      <x:c r="D790" t="n">
        <x:f>MAX(10,ROUNDDOWN((('Calculator'!$B$10+A790)*SQRT('Calculator'!$B$11+B790)*SQRT('Calculator'!$B$12+C790)*0.59740001^2)/10,0))</x:f>
        <x:v>2361</x:v>
      </x:c>
      <x:c r="E790" t="n">
        <x:f>MAX(10,ROUNDDOWN((('Calculator'!$B$10+A790)*SQRT('Calculator'!$B$11+B790)*SQRT('Calculator'!$B$12+C790)*0.667934^2)/10,0))</x:f>
        <x:v>2951</x:v>
      </x:c>
      <x:c r="F790" t="n">
        <x:f>--AND(A790&gt;='Calculator'!$B$5,B790&gt;='Calculator'!$B$5,C790&gt;='Calculator'!$B$5)</x:f>
        <x:v>1</x:v>
      </x:c>
      <x:c r="G790" t="n">
        <x:f>--AND(A790+'Calculator'!$B$6&gt;=15,B790+'Calculator'!$B$6&gt;=15,C790+'Calculator'!$B$6&gt;=15)</x:f>
        <x:v>1</x:v>
      </x:c>
      <x:c r="H790" t="n">
        <x:f>--AND(F790=1,D790='Calculator'!$B$4)</x:f>
        <x:v>0</x:v>
      </x:c>
      <x:c r="I790" t="n">
        <x:f>--AND(H790=1,G790=1)</x:f>
        <x:v>0</x:v>
      </x:c>
      <x:c r="J790" t="n">
        <x:f>--AND(F790=1,E790='Calculator'!$B$4)</x:f>
        <x:v>0</x:v>
      </x:c>
      <x:c r="K790" t="n">
        <x:f>--AND(J790=1,G790=1)</x:f>
        <x:v>0</x:v>
      </x:c>
      <x:c r="L790" t="str">
        <x:f>A790&amp;"/"&amp;B790&amp;"/"&amp;C790</x:f>
        <x:v>13/14/14</x:v>
      </x:c>
      <x:c r="M790" t="str">
        <x:f>MIN(15,A790+'Calculator'!$B$6)&amp;"/"&amp;MIN(15,B790+'Calculator'!$B$6)&amp;"/"&amp;MIN(15,C790+'Calculator'!$B$6)</x:f>
        <x:v>15/15/15</x:v>
      </x:c>
    </x:row>
    <x:row r="791">
      <x:c r="A791" t="n">
        <x:v>13</x:v>
      </x:c>
      <x:c r="B791" t="n">
        <x:v>14</x:v>
      </x:c>
      <x:c r="C791" t="n">
        <x:v>15</x:v>
      </x:c>
      <x:c r="D791" t="n">
        <x:f>MAX(10,ROUNDDOWN((('Calculator'!$B$10+A791)*SQRT('Calculator'!$B$11+B791)*SQRT('Calculator'!$B$12+C791)*0.59740001^2)/10,0))</x:f>
        <x:v>2366</x:v>
      </x:c>
      <x:c r="E791" t="n">
        <x:f>MAX(10,ROUNDDOWN((('Calculator'!$B$10+A791)*SQRT('Calculator'!$B$11+B791)*SQRT('Calculator'!$B$12+C791)*0.667934^2)/10,0))</x:f>
        <x:v>2958</x:v>
      </x:c>
      <x:c r="F791" t="n">
        <x:f>--AND(A791&gt;='Calculator'!$B$5,B791&gt;='Calculator'!$B$5,C791&gt;='Calculator'!$B$5)</x:f>
        <x:v>1</x:v>
      </x:c>
      <x:c r="G791" t="n">
        <x:f>--AND(A791+'Calculator'!$B$6&gt;=15,B791+'Calculator'!$B$6&gt;=15,C791+'Calculator'!$B$6&gt;=15)</x:f>
        <x:v>1</x:v>
      </x:c>
      <x:c r="H791" t="n">
        <x:f>--AND(F791=1,D791='Calculator'!$B$4)</x:f>
        <x:v>0</x:v>
      </x:c>
      <x:c r="I791" t="n">
        <x:f>--AND(H791=1,G791=1)</x:f>
        <x:v>0</x:v>
      </x:c>
      <x:c r="J791" t="n">
        <x:f>--AND(F791=1,E791='Calculator'!$B$4)</x:f>
        <x:v>0</x:v>
      </x:c>
      <x:c r="K791" t="n">
        <x:f>--AND(J791=1,G791=1)</x:f>
        <x:v>0</x:v>
      </x:c>
      <x:c r="L791" t="str">
        <x:f>A791&amp;"/"&amp;B791&amp;"/"&amp;C791</x:f>
        <x:v>13/14/15</x:v>
      </x:c>
      <x:c r="M791" t="str">
        <x:f>MIN(15,A791+'Calculator'!$B$6)&amp;"/"&amp;MIN(15,B791+'Calculator'!$B$6)&amp;"/"&amp;MIN(15,C791+'Calculator'!$B$6)</x:f>
        <x:v>15/15/15</x:v>
      </x:c>
    </x:row>
    <x:row r="792">
      <x:c r="A792" t="n">
        <x:v>13</x:v>
      </x:c>
      <x:c r="B792" t="n">
        <x:v>15</x:v>
      </x:c>
      <x:c r="C792" t="n">
        <x:v>6</x:v>
      </x:c>
      <x:c r="D792" t="n">
        <x:f>MAX(10,ROUNDDOWN((('Calculator'!$B$10+A792)*SQRT('Calculator'!$B$11+B792)*SQRT('Calculator'!$B$12+C792)*0.59740001^2)/10,0))</x:f>
        <x:v>2325</x:v>
      </x:c>
      <x:c r="E792" t="n">
        <x:f>MAX(10,ROUNDDOWN((('Calculator'!$B$10+A792)*SQRT('Calculator'!$B$11+B792)*SQRT('Calculator'!$B$12+C792)*0.667934^2)/10,0))</x:f>
        <x:v>2907</x:v>
      </x:c>
      <x:c r="F792" t="n">
        <x:f>--AND(A792&gt;='Calculator'!$B$5,B792&gt;='Calculator'!$B$5,C792&gt;='Calculator'!$B$5)</x:f>
        <x:v>1</x:v>
      </x:c>
      <x:c r="G792" t="n">
        <x:f>--AND(A792+'Calculator'!$B$6&gt;=15,B792+'Calculator'!$B$6&gt;=15,C792+'Calculator'!$B$6&gt;=15)</x:f>
        <x:v>0</x:v>
      </x:c>
      <x:c r="H792" t="n">
        <x:f>--AND(F792=1,D792='Calculator'!$B$4)</x:f>
        <x:v>0</x:v>
      </x:c>
      <x:c r="I792" t="n">
        <x:f>--AND(H792=1,G792=1)</x:f>
        <x:v>0</x:v>
      </x:c>
      <x:c r="J792" t="n">
        <x:f>--AND(F792=1,E792='Calculator'!$B$4)</x:f>
        <x:v>0</x:v>
      </x:c>
      <x:c r="K792" t="n">
        <x:f>--AND(J792=1,G792=1)</x:f>
        <x:v>0</x:v>
      </x:c>
      <x:c r="L792" t="str">
        <x:f>A792&amp;"/"&amp;B792&amp;"/"&amp;C792</x:f>
        <x:v>13/15/6</x:v>
      </x:c>
      <x:c r="M792" t="str">
        <x:f>MIN(15,A792+'Calculator'!$B$6)&amp;"/"&amp;MIN(15,B792+'Calculator'!$B$6)&amp;"/"&amp;MIN(15,C792+'Calculator'!$B$6)</x:f>
        <x:v>15/15/8</x:v>
      </x:c>
    </x:row>
    <x:row r="793">
      <x:c r="A793" t="n">
        <x:v>13</x:v>
      </x:c>
      <x:c r="B793" t="n">
        <x:v>15</x:v>
      </x:c>
      <x:c r="C793" t="n">
        <x:v>7</x:v>
      </x:c>
      <x:c r="D793" t="n">
        <x:f>MAX(10,ROUNDDOWN((('Calculator'!$B$10+A793)*SQRT('Calculator'!$B$11+B793)*SQRT('Calculator'!$B$12+C793)*0.59740001^2)/10,0))</x:f>
        <x:v>2330</x:v>
      </x:c>
      <x:c r="E793" t="n">
        <x:f>MAX(10,ROUNDDOWN((('Calculator'!$B$10+A793)*SQRT('Calculator'!$B$11+B793)*SQRT('Calculator'!$B$12+C793)*0.667934^2)/10,0))</x:f>
        <x:v>2913</x:v>
      </x:c>
      <x:c r="F793" t="n">
        <x:f>--AND(A793&gt;='Calculator'!$B$5,B793&gt;='Calculator'!$B$5,C793&gt;='Calculator'!$B$5)</x:f>
        <x:v>1</x:v>
      </x:c>
      <x:c r="G793" t="n">
        <x:f>--AND(A793+'Calculator'!$B$6&gt;=15,B793+'Calculator'!$B$6&gt;=15,C793+'Calculator'!$B$6&gt;=15)</x:f>
        <x:v>0</x:v>
      </x:c>
      <x:c r="H793" t="n">
        <x:f>--AND(F793=1,D793='Calculator'!$B$4)</x:f>
        <x:v>0</x:v>
      </x:c>
      <x:c r="I793" t="n">
        <x:f>--AND(H793=1,G793=1)</x:f>
        <x:v>0</x:v>
      </x:c>
      <x:c r="J793" t="n">
        <x:f>--AND(F793=1,E793='Calculator'!$B$4)</x:f>
        <x:v>0</x:v>
      </x:c>
      <x:c r="K793" t="n">
        <x:f>--AND(J793=1,G793=1)</x:f>
        <x:v>0</x:v>
      </x:c>
      <x:c r="L793" t="str">
        <x:f>A793&amp;"/"&amp;B793&amp;"/"&amp;C793</x:f>
        <x:v>13/15/7</x:v>
      </x:c>
      <x:c r="M793" t="str">
        <x:f>MIN(15,A793+'Calculator'!$B$6)&amp;"/"&amp;MIN(15,B793+'Calculator'!$B$6)&amp;"/"&amp;MIN(15,C793+'Calculator'!$B$6)</x:f>
        <x:v>15/15/9</x:v>
      </x:c>
    </x:row>
    <x:row r="794">
      <x:c r="A794" t="n">
        <x:v>13</x:v>
      </x:c>
      <x:c r="B794" t="n">
        <x:v>15</x:v>
      </x:c>
      <x:c r="C794" t="n">
        <x:v>8</x:v>
      </x:c>
      <x:c r="D794" t="n">
        <x:f>MAX(10,ROUNDDOWN((('Calculator'!$B$10+A794)*SQRT('Calculator'!$B$11+B794)*SQRT('Calculator'!$B$12+C794)*0.59740001^2)/10,0))</x:f>
        <x:v>2336</x:v>
      </x:c>
      <x:c r="E794" t="n">
        <x:f>MAX(10,ROUNDDOWN((('Calculator'!$B$10+A794)*SQRT('Calculator'!$B$11+B794)*SQRT('Calculator'!$B$12+C794)*0.667934^2)/10,0))</x:f>
        <x:v>2920</x:v>
      </x:c>
      <x:c r="F794" t="n">
        <x:f>--AND(A794&gt;='Calculator'!$B$5,B794&gt;='Calculator'!$B$5,C794&gt;='Calculator'!$B$5)</x:f>
        <x:v>1</x:v>
      </x:c>
      <x:c r="G794" t="n">
        <x:f>--AND(A794+'Calculator'!$B$6&gt;=15,B794+'Calculator'!$B$6&gt;=15,C794+'Calculator'!$B$6&gt;=15)</x:f>
        <x:v>0</x:v>
      </x:c>
      <x:c r="H794" t="n">
        <x:f>--AND(F794=1,D794='Calculator'!$B$4)</x:f>
        <x:v>0</x:v>
      </x:c>
      <x:c r="I794" t="n">
        <x:f>--AND(H794=1,G794=1)</x:f>
        <x:v>0</x:v>
      </x:c>
      <x:c r="J794" t="n">
        <x:f>--AND(F794=1,E794='Calculator'!$B$4)</x:f>
        <x:v>0</x:v>
      </x:c>
      <x:c r="K794" t="n">
        <x:f>--AND(J794=1,G794=1)</x:f>
        <x:v>0</x:v>
      </x:c>
      <x:c r="L794" t="str">
        <x:f>A794&amp;"/"&amp;B794&amp;"/"&amp;C794</x:f>
        <x:v>13/15/8</x:v>
      </x:c>
      <x:c r="M794" t="str">
        <x:f>MIN(15,A794+'Calculator'!$B$6)&amp;"/"&amp;MIN(15,B794+'Calculator'!$B$6)&amp;"/"&amp;MIN(15,C794+'Calculator'!$B$6)</x:f>
        <x:v>15/15/10</x:v>
      </x:c>
    </x:row>
    <x:row r="795">
      <x:c r="A795" t="n">
        <x:v>13</x:v>
      </x:c>
      <x:c r="B795" t="n">
        <x:v>15</x:v>
      </x:c>
      <x:c r="C795" t="n">
        <x:v>9</x:v>
      </x:c>
      <x:c r="D795" t="n">
        <x:f>MAX(10,ROUNDDOWN((('Calculator'!$B$10+A795)*SQRT('Calculator'!$B$11+B795)*SQRT('Calculator'!$B$12+C795)*0.59740001^2)/10,0))</x:f>
        <x:v>2341</x:v>
      </x:c>
      <x:c r="E795" t="n">
        <x:f>MAX(10,ROUNDDOWN((('Calculator'!$B$10+A795)*SQRT('Calculator'!$B$11+B795)*SQRT('Calculator'!$B$12+C795)*0.667934^2)/10,0))</x:f>
        <x:v>2926</x:v>
      </x:c>
      <x:c r="F795" t="n">
        <x:f>--AND(A795&gt;='Calculator'!$B$5,B795&gt;='Calculator'!$B$5,C795&gt;='Calculator'!$B$5)</x:f>
        <x:v>1</x:v>
      </x:c>
      <x:c r="G795" t="n">
        <x:f>--AND(A795+'Calculator'!$B$6&gt;=15,B795+'Calculator'!$B$6&gt;=15,C795+'Calculator'!$B$6&gt;=15)</x:f>
        <x:v>0</x:v>
      </x:c>
      <x:c r="H795" t="n">
        <x:f>--AND(F795=1,D795='Calculator'!$B$4)</x:f>
        <x:v>0</x:v>
      </x:c>
      <x:c r="I795" t="n">
        <x:f>--AND(H795=1,G795=1)</x:f>
        <x:v>0</x:v>
      </x:c>
      <x:c r="J795" t="n">
        <x:f>--AND(F795=1,E795='Calculator'!$B$4)</x:f>
        <x:v>0</x:v>
      </x:c>
      <x:c r="K795" t="n">
        <x:f>--AND(J795=1,G795=1)</x:f>
        <x:v>0</x:v>
      </x:c>
      <x:c r="L795" t="str">
        <x:f>A795&amp;"/"&amp;B795&amp;"/"&amp;C795</x:f>
        <x:v>13/15/9</x:v>
      </x:c>
      <x:c r="M795" t="str">
        <x:f>MIN(15,A795+'Calculator'!$B$6)&amp;"/"&amp;MIN(15,B795+'Calculator'!$B$6)&amp;"/"&amp;MIN(15,C795+'Calculator'!$B$6)</x:f>
        <x:v>15/15/11</x:v>
      </x:c>
    </x:row>
    <x:row r="796">
      <x:c r="A796" t="n">
        <x:v>13</x:v>
      </x:c>
      <x:c r="B796" t="n">
        <x:v>15</x:v>
      </x:c>
      <x:c r="C796" t="n">
        <x:v>10</x:v>
      </x:c>
      <x:c r="D796" t="n">
        <x:f>MAX(10,ROUNDDOWN((('Calculator'!$B$10+A796)*SQRT('Calculator'!$B$11+B796)*SQRT('Calculator'!$B$12+C796)*0.59740001^2)/10,0))</x:f>
        <x:v>2346</x:v>
      </x:c>
      <x:c r="E796" t="n">
        <x:f>MAX(10,ROUNDDOWN((('Calculator'!$B$10+A796)*SQRT('Calculator'!$B$11+B796)*SQRT('Calculator'!$B$12+C796)*0.667934^2)/10,0))</x:f>
        <x:v>2933</x:v>
      </x:c>
      <x:c r="F796" t="n">
        <x:f>--AND(A796&gt;='Calculator'!$B$5,B796&gt;='Calculator'!$B$5,C796&gt;='Calculator'!$B$5)</x:f>
        <x:v>1</x:v>
      </x:c>
      <x:c r="G796" t="n">
        <x:f>--AND(A796+'Calculator'!$B$6&gt;=15,B796+'Calculator'!$B$6&gt;=15,C796+'Calculator'!$B$6&gt;=15)</x:f>
        <x:v>0</x:v>
      </x:c>
      <x:c r="H796" t="n">
        <x:f>--AND(F796=1,D796='Calculator'!$B$4)</x:f>
        <x:v>0</x:v>
      </x:c>
      <x:c r="I796" t="n">
        <x:f>--AND(H796=1,G796=1)</x:f>
        <x:v>0</x:v>
      </x:c>
      <x:c r="J796" t="n">
        <x:f>--AND(F796=1,E796='Calculator'!$B$4)</x:f>
        <x:v>0</x:v>
      </x:c>
      <x:c r="K796" t="n">
        <x:f>--AND(J796=1,G796=1)</x:f>
        <x:v>0</x:v>
      </x:c>
      <x:c r="L796" t="str">
        <x:f>A796&amp;"/"&amp;B796&amp;"/"&amp;C796</x:f>
        <x:v>13/15/10</x:v>
      </x:c>
      <x:c r="M796" t="str">
        <x:f>MIN(15,A796+'Calculator'!$B$6)&amp;"/"&amp;MIN(15,B796+'Calculator'!$B$6)&amp;"/"&amp;MIN(15,C796+'Calculator'!$B$6)</x:f>
        <x:v>15/15/12</x:v>
      </x:c>
    </x:row>
    <x:row r="797">
      <x:c r="A797" t="n">
        <x:v>13</x:v>
      </x:c>
      <x:c r="B797" t="n">
        <x:v>15</x:v>
      </x:c>
      <x:c r="C797" t="n">
        <x:v>11</x:v>
      </x:c>
      <x:c r="D797" t="n">
        <x:f>MAX(10,ROUNDDOWN((('Calculator'!$B$10+A797)*SQRT('Calculator'!$B$11+B797)*SQRT('Calculator'!$B$12+C797)*0.59740001^2)/10,0))</x:f>
        <x:v>2351</x:v>
      </x:c>
      <x:c r="E797" t="n">
        <x:f>MAX(10,ROUNDDOWN((('Calculator'!$B$10+A797)*SQRT('Calculator'!$B$11+B797)*SQRT('Calculator'!$B$12+C797)*0.667934^2)/10,0))</x:f>
        <x:v>2939</x:v>
      </x:c>
      <x:c r="F797" t="n">
        <x:f>--AND(A797&gt;='Calculator'!$B$5,B797&gt;='Calculator'!$B$5,C797&gt;='Calculator'!$B$5)</x:f>
        <x:v>1</x:v>
      </x:c>
      <x:c r="G797" t="n">
        <x:f>--AND(A797+'Calculator'!$B$6&gt;=15,B797+'Calculator'!$B$6&gt;=15,C797+'Calculator'!$B$6&gt;=15)</x:f>
        <x:v>0</x:v>
      </x:c>
      <x:c r="H797" t="n">
        <x:f>--AND(F797=1,D797='Calculator'!$B$4)</x:f>
        <x:v>0</x:v>
      </x:c>
      <x:c r="I797" t="n">
        <x:f>--AND(H797=1,G797=1)</x:f>
        <x:v>0</x:v>
      </x:c>
      <x:c r="J797" t="n">
        <x:f>--AND(F797=1,E797='Calculator'!$B$4)</x:f>
        <x:v>0</x:v>
      </x:c>
      <x:c r="K797" t="n">
        <x:f>--AND(J797=1,G797=1)</x:f>
        <x:v>0</x:v>
      </x:c>
      <x:c r="L797" t="str">
        <x:f>A797&amp;"/"&amp;B797&amp;"/"&amp;C797</x:f>
        <x:v>13/15/11</x:v>
      </x:c>
      <x:c r="M797" t="str">
        <x:f>MIN(15,A797+'Calculator'!$B$6)&amp;"/"&amp;MIN(15,B797+'Calculator'!$B$6)&amp;"/"&amp;MIN(15,C797+'Calculator'!$B$6)</x:f>
        <x:v>15/15/13</x:v>
      </x:c>
    </x:row>
    <x:row r="798">
      <x:c r="A798" t="n">
        <x:v>13</x:v>
      </x:c>
      <x:c r="B798" t="n">
        <x:v>15</x:v>
      </x:c>
      <x:c r="C798" t="n">
        <x:v>12</x:v>
      </x:c>
      <x:c r="D798" t="n">
        <x:f>MAX(10,ROUNDDOWN((('Calculator'!$B$10+A798)*SQRT('Calculator'!$B$11+B798)*SQRT('Calculator'!$B$12+C798)*0.59740001^2)/10,0))</x:f>
        <x:v>2357</x:v>
      </x:c>
      <x:c r="E798" t="n">
        <x:f>MAX(10,ROUNDDOWN((('Calculator'!$B$10+A798)*SQRT('Calculator'!$B$11+B798)*SQRT('Calculator'!$B$12+C798)*0.667934^2)/10,0))</x:f>
        <x:v>2946</x:v>
      </x:c>
      <x:c r="F798" t="n">
        <x:f>--AND(A798&gt;='Calculator'!$B$5,B798&gt;='Calculator'!$B$5,C798&gt;='Calculator'!$B$5)</x:f>
        <x:v>1</x:v>
      </x:c>
      <x:c r="G798" t="n">
        <x:f>--AND(A798+'Calculator'!$B$6&gt;=15,B798+'Calculator'!$B$6&gt;=15,C798+'Calculator'!$B$6&gt;=15)</x:f>
        <x:v>0</x:v>
      </x:c>
      <x:c r="H798" t="n">
        <x:f>--AND(F798=1,D798='Calculator'!$B$4)</x:f>
        <x:v>0</x:v>
      </x:c>
      <x:c r="I798" t="n">
        <x:f>--AND(H798=1,G798=1)</x:f>
        <x:v>0</x:v>
      </x:c>
      <x:c r="J798" t="n">
        <x:f>--AND(F798=1,E798='Calculator'!$B$4)</x:f>
        <x:v>0</x:v>
      </x:c>
      <x:c r="K798" t="n">
        <x:f>--AND(J798=1,G798=1)</x:f>
        <x:v>0</x:v>
      </x:c>
      <x:c r="L798" t="str">
        <x:f>A798&amp;"/"&amp;B798&amp;"/"&amp;C798</x:f>
        <x:v>13/15/12</x:v>
      </x:c>
      <x:c r="M798" t="str">
        <x:f>MIN(15,A798+'Calculator'!$B$6)&amp;"/"&amp;MIN(15,B798+'Calculator'!$B$6)&amp;"/"&amp;MIN(15,C798+'Calculator'!$B$6)</x:f>
        <x:v>15/15/14</x:v>
      </x:c>
    </x:row>
    <x:row r="799">
      <x:c r="A799" t="n">
        <x:v>13</x:v>
      </x:c>
      <x:c r="B799" t="n">
        <x:v>15</x:v>
      </x:c>
      <x:c r="C799" t="n">
        <x:v>13</x:v>
      </x:c>
      <x:c r="D799" t="n">
        <x:f>MAX(10,ROUNDDOWN((('Calculator'!$B$10+A799)*SQRT('Calculator'!$B$11+B799)*SQRT('Calculator'!$B$12+C799)*0.59740001^2)/10,0))</x:f>
        <x:v>2362</x:v>
      </x:c>
      <x:c r="E799" t="n">
        <x:f>MAX(10,ROUNDDOWN((('Calculator'!$B$10+A799)*SQRT('Calculator'!$B$11+B799)*SQRT('Calculator'!$B$12+C799)*0.667934^2)/10,0))</x:f>
        <x:v>2952</x:v>
      </x:c>
      <x:c r="F799" t="n">
        <x:f>--AND(A799&gt;='Calculator'!$B$5,B799&gt;='Calculator'!$B$5,C799&gt;='Calculator'!$B$5)</x:f>
        <x:v>1</x:v>
      </x:c>
      <x:c r="G799" t="n">
        <x:f>--AND(A799+'Calculator'!$B$6&gt;=15,B799+'Calculator'!$B$6&gt;=15,C799+'Calculator'!$B$6&gt;=15)</x:f>
        <x:v>1</x:v>
      </x:c>
      <x:c r="H799" t="n">
        <x:f>--AND(F799=1,D799='Calculator'!$B$4)</x:f>
        <x:v>0</x:v>
      </x:c>
      <x:c r="I799" t="n">
        <x:f>--AND(H799=1,G799=1)</x:f>
        <x:v>0</x:v>
      </x:c>
      <x:c r="J799" t="n">
        <x:f>--AND(F799=1,E799='Calculator'!$B$4)</x:f>
        <x:v>0</x:v>
      </x:c>
      <x:c r="K799" t="n">
        <x:f>--AND(J799=1,G799=1)</x:f>
        <x:v>0</x:v>
      </x:c>
      <x:c r="L799" t="str">
        <x:f>A799&amp;"/"&amp;B799&amp;"/"&amp;C799</x:f>
        <x:v>13/15/13</x:v>
      </x:c>
      <x:c r="M799" t="str">
        <x:f>MIN(15,A799+'Calculator'!$B$6)&amp;"/"&amp;MIN(15,B799+'Calculator'!$B$6)&amp;"/"&amp;MIN(15,C799+'Calculator'!$B$6)</x:f>
        <x:v>15/15/15</x:v>
      </x:c>
    </x:row>
    <x:row r="800">
      <x:c r="A800" t="n">
        <x:v>13</x:v>
      </x:c>
      <x:c r="B800" t="n">
        <x:v>15</x:v>
      </x:c>
      <x:c r="C800" t="n">
        <x:v>14</x:v>
      </x:c>
      <x:c r="D800" t="n">
        <x:f>MAX(10,ROUNDDOWN((('Calculator'!$B$10+A800)*SQRT('Calculator'!$B$11+B800)*SQRT('Calculator'!$B$12+C800)*0.59740001^2)/10,0))</x:f>
        <x:v>2367</x:v>
      </x:c>
      <x:c r="E800" t="n">
        <x:f>MAX(10,ROUNDDOWN((('Calculator'!$B$10+A800)*SQRT('Calculator'!$B$11+B800)*SQRT('Calculator'!$B$12+C800)*0.667934^2)/10,0))</x:f>
        <x:v>2959</x:v>
      </x:c>
      <x:c r="F800" t="n">
        <x:f>--AND(A800&gt;='Calculator'!$B$5,B800&gt;='Calculator'!$B$5,C800&gt;='Calculator'!$B$5)</x:f>
        <x:v>1</x:v>
      </x:c>
      <x:c r="G800" t="n">
        <x:f>--AND(A800+'Calculator'!$B$6&gt;=15,B800+'Calculator'!$B$6&gt;=15,C800+'Calculator'!$B$6&gt;=15)</x:f>
        <x:v>1</x:v>
      </x:c>
      <x:c r="H800" t="n">
        <x:f>--AND(F800=1,D800='Calculator'!$B$4)</x:f>
        <x:v>0</x:v>
      </x:c>
      <x:c r="I800" t="n">
        <x:f>--AND(H800=1,G800=1)</x:f>
        <x:v>0</x:v>
      </x:c>
      <x:c r="J800" t="n">
        <x:f>--AND(F800=1,E800='Calculator'!$B$4)</x:f>
        <x:v>0</x:v>
      </x:c>
      <x:c r="K800" t="n">
        <x:f>--AND(J800=1,G800=1)</x:f>
        <x:v>0</x:v>
      </x:c>
      <x:c r="L800" t="str">
        <x:f>A800&amp;"/"&amp;B800&amp;"/"&amp;C800</x:f>
        <x:v>13/15/14</x:v>
      </x:c>
      <x:c r="M800" t="str">
        <x:f>MIN(15,A800+'Calculator'!$B$6)&amp;"/"&amp;MIN(15,B800+'Calculator'!$B$6)&amp;"/"&amp;MIN(15,C800+'Calculator'!$B$6)</x:f>
        <x:v>15/15/15</x:v>
      </x:c>
    </x:row>
    <x:row r="801">
      <x:c r="A801" t="n">
        <x:v>13</x:v>
      </x:c>
      <x:c r="B801" t="n">
        <x:v>15</x:v>
      </x:c>
      <x:c r="C801" t="n">
        <x:v>15</x:v>
      </x:c>
      <x:c r="D801" t="n">
        <x:f>MAX(10,ROUNDDOWN((('Calculator'!$B$10+A801)*SQRT('Calculator'!$B$11+B801)*SQRT('Calculator'!$B$12+C801)*0.59740001^2)/10,0))</x:f>
        <x:v>2372</x:v>
      </x:c>
      <x:c r="E801" t="n">
        <x:f>MAX(10,ROUNDDOWN((('Calculator'!$B$10+A801)*SQRT('Calculator'!$B$11+B801)*SQRT('Calculator'!$B$12+C801)*0.667934^2)/10,0))</x:f>
        <x:v>2965</x:v>
      </x:c>
      <x:c r="F801" t="n">
        <x:f>--AND(A801&gt;='Calculator'!$B$5,B801&gt;='Calculator'!$B$5,C801&gt;='Calculator'!$B$5)</x:f>
        <x:v>1</x:v>
      </x:c>
      <x:c r="G801" t="n">
        <x:f>--AND(A801+'Calculator'!$B$6&gt;=15,B801+'Calculator'!$B$6&gt;=15,C801+'Calculator'!$B$6&gt;=15)</x:f>
        <x:v>1</x:v>
      </x:c>
      <x:c r="H801" t="n">
        <x:f>--AND(F801=1,D801='Calculator'!$B$4)</x:f>
        <x:v>0</x:v>
      </x:c>
      <x:c r="I801" t="n">
        <x:f>--AND(H801=1,G801=1)</x:f>
        <x:v>0</x:v>
      </x:c>
      <x:c r="J801" t="n">
        <x:f>--AND(F801=1,E801='Calculator'!$B$4)</x:f>
        <x:v>0</x:v>
      </x:c>
      <x:c r="K801" t="n">
        <x:f>--AND(J801=1,G801=1)</x:f>
        <x:v>0</x:v>
      </x:c>
      <x:c r="L801" t="str">
        <x:f>A801&amp;"/"&amp;B801&amp;"/"&amp;C801</x:f>
        <x:v>13/15/15</x:v>
      </x:c>
      <x:c r="M801" t="str">
        <x:f>MIN(15,A801+'Calculator'!$B$6)&amp;"/"&amp;MIN(15,B801+'Calculator'!$B$6)&amp;"/"&amp;MIN(15,C801+'Calculator'!$B$6)</x:f>
        <x:v>15/15/15</x:v>
      </x:c>
    </x:row>
    <x:row r="802">
      <x:c r="A802" t="n">
        <x:v>14</x:v>
      </x:c>
      <x:c r="B802" t="n">
        <x:v>6</x:v>
      </x:c>
      <x:c r="C802" t="n">
        <x:v>6</x:v>
      </x:c>
      <x:c r="D802" t="n">
        <x:f>MAX(10,ROUNDDOWN((('Calculator'!$B$10+A802)*SQRT('Calculator'!$B$11+B802)*SQRT('Calculator'!$B$12+C802)*0.59740001^2)/10,0))</x:f>
        <x:v>2279</x:v>
      </x:c>
      <x:c r="E802" t="n">
        <x:f>MAX(10,ROUNDDOWN((('Calculator'!$B$10+A802)*SQRT('Calculator'!$B$11+B802)*SQRT('Calculator'!$B$12+C802)*0.667934^2)/10,0))</x:f>
        <x:v>2848</x:v>
      </x:c>
      <x:c r="F802" t="n">
        <x:f>--AND(A802&gt;='Calculator'!$B$5,B802&gt;='Calculator'!$B$5,C802&gt;='Calculator'!$B$5)</x:f>
        <x:v>1</x:v>
      </x:c>
      <x:c r="G802" t="n">
        <x:f>--AND(A802+'Calculator'!$B$6&gt;=15,B802+'Calculator'!$B$6&gt;=15,C802+'Calculator'!$B$6&gt;=15)</x:f>
        <x:v>0</x:v>
      </x:c>
      <x:c r="H802" t="n">
        <x:f>--AND(F802=1,D802='Calculator'!$B$4)</x:f>
        <x:v>0</x:v>
      </x:c>
      <x:c r="I802" t="n">
        <x:f>--AND(H802=1,G802=1)</x:f>
        <x:v>0</x:v>
      </x:c>
      <x:c r="J802" t="n">
        <x:f>--AND(F802=1,E802='Calculator'!$B$4)</x:f>
        <x:v>0</x:v>
      </x:c>
      <x:c r="K802" t="n">
        <x:f>--AND(J802=1,G802=1)</x:f>
        <x:v>0</x:v>
      </x:c>
      <x:c r="L802" t="str">
        <x:f>A802&amp;"/"&amp;B802&amp;"/"&amp;C802</x:f>
        <x:v>14/6/6</x:v>
      </x:c>
      <x:c r="M802" t="str">
        <x:f>MIN(15,A802+'Calculator'!$B$6)&amp;"/"&amp;MIN(15,B802+'Calculator'!$B$6)&amp;"/"&amp;MIN(15,C802+'Calculator'!$B$6)</x:f>
        <x:v>15/8/8</x:v>
      </x:c>
    </x:row>
    <x:row r="803">
      <x:c r="A803" t="n">
        <x:v>14</x:v>
      </x:c>
      <x:c r="B803" t="n">
        <x:v>6</x:v>
      </x:c>
      <x:c r="C803" t="n">
        <x:v>7</x:v>
      </x:c>
      <x:c r="D803" t="n">
        <x:f>MAX(10,ROUNDDOWN((('Calculator'!$B$10+A803)*SQRT('Calculator'!$B$11+B803)*SQRT('Calculator'!$B$12+C803)*0.59740001^2)/10,0))</x:f>
        <x:v>2284</x:v>
      </x:c>
      <x:c r="E803" t="n">
        <x:f>MAX(10,ROUNDDOWN((('Calculator'!$B$10+A803)*SQRT('Calculator'!$B$11+B803)*SQRT('Calculator'!$B$12+C803)*0.667934^2)/10,0))</x:f>
        <x:v>2855</x:v>
      </x:c>
      <x:c r="F803" t="n">
        <x:f>--AND(A803&gt;='Calculator'!$B$5,B803&gt;='Calculator'!$B$5,C803&gt;='Calculator'!$B$5)</x:f>
        <x:v>1</x:v>
      </x:c>
      <x:c r="G803" t="n">
        <x:f>--AND(A803+'Calculator'!$B$6&gt;=15,B803+'Calculator'!$B$6&gt;=15,C803+'Calculator'!$B$6&gt;=15)</x:f>
        <x:v>0</x:v>
      </x:c>
      <x:c r="H803" t="n">
        <x:f>--AND(F803=1,D803='Calculator'!$B$4)</x:f>
        <x:v>0</x:v>
      </x:c>
      <x:c r="I803" t="n">
        <x:f>--AND(H803=1,G803=1)</x:f>
        <x:v>0</x:v>
      </x:c>
      <x:c r="J803" t="n">
        <x:f>--AND(F803=1,E803='Calculator'!$B$4)</x:f>
        <x:v>0</x:v>
      </x:c>
      <x:c r="K803" t="n">
        <x:f>--AND(J803=1,G803=1)</x:f>
        <x:v>0</x:v>
      </x:c>
      <x:c r="L803" t="str">
        <x:f>A803&amp;"/"&amp;B803&amp;"/"&amp;C803</x:f>
        <x:v>14/6/7</x:v>
      </x:c>
      <x:c r="M803" t="str">
        <x:f>MIN(15,A803+'Calculator'!$B$6)&amp;"/"&amp;MIN(15,B803+'Calculator'!$B$6)&amp;"/"&amp;MIN(15,C803+'Calculator'!$B$6)</x:f>
        <x:v>15/8/9</x:v>
      </x:c>
    </x:row>
    <x:row r="804">
      <x:c r="A804" t="n">
        <x:v>14</x:v>
      </x:c>
      <x:c r="B804" t="n">
        <x:v>6</x:v>
      </x:c>
      <x:c r="C804" t="n">
        <x:v>8</x:v>
      </x:c>
      <x:c r="D804" t="n">
        <x:f>MAX(10,ROUNDDOWN((('Calculator'!$B$10+A804)*SQRT('Calculator'!$B$11+B804)*SQRT('Calculator'!$B$12+C804)*0.59740001^2)/10,0))</x:f>
        <x:v>2289</x:v>
      </x:c>
      <x:c r="E804" t="n">
        <x:f>MAX(10,ROUNDDOWN((('Calculator'!$B$10+A804)*SQRT('Calculator'!$B$11+B804)*SQRT('Calculator'!$B$12+C804)*0.667934^2)/10,0))</x:f>
        <x:v>2861</x:v>
      </x:c>
      <x:c r="F804" t="n">
        <x:f>--AND(A804&gt;='Calculator'!$B$5,B804&gt;='Calculator'!$B$5,C804&gt;='Calculator'!$B$5)</x:f>
        <x:v>1</x:v>
      </x:c>
      <x:c r="G804" t="n">
        <x:f>--AND(A804+'Calculator'!$B$6&gt;=15,B804+'Calculator'!$B$6&gt;=15,C804+'Calculator'!$B$6&gt;=15)</x:f>
        <x:v>0</x:v>
      </x:c>
      <x:c r="H804" t="n">
        <x:f>--AND(F804=1,D804='Calculator'!$B$4)</x:f>
        <x:v>0</x:v>
      </x:c>
      <x:c r="I804" t="n">
        <x:f>--AND(H804=1,G804=1)</x:f>
        <x:v>0</x:v>
      </x:c>
      <x:c r="J804" t="n">
        <x:f>--AND(F804=1,E804='Calculator'!$B$4)</x:f>
        <x:v>0</x:v>
      </x:c>
      <x:c r="K804" t="n">
        <x:f>--AND(J804=1,G804=1)</x:f>
        <x:v>0</x:v>
      </x:c>
      <x:c r="L804" t="str">
        <x:f>A804&amp;"/"&amp;B804&amp;"/"&amp;C804</x:f>
        <x:v>14/6/8</x:v>
      </x:c>
      <x:c r="M804" t="str">
        <x:f>MIN(15,A804+'Calculator'!$B$6)&amp;"/"&amp;MIN(15,B804+'Calculator'!$B$6)&amp;"/"&amp;MIN(15,C804+'Calculator'!$B$6)</x:f>
        <x:v>15/8/10</x:v>
      </x:c>
    </x:row>
    <x:row r="805">
      <x:c r="A805" t="n">
        <x:v>14</x:v>
      </x:c>
      <x:c r="B805" t="n">
        <x:v>6</x:v>
      </x:c>
      <x:c r="C805" t="n">
        <x:v>9</x:v>
      </x:c>
      <x:c r="D805" t="n">
        <x:f>MAX(10,ROUNDDOWN((('Calculator'!$B$10+A805)*SQRT('Calculator'!$B$11+B805)*SQRT('Calculator'!$B$12+C805)*0.59740001^2)/10,0))</x:f>
        <x:v>2294</x:v>
      </x:c>
      <x:c r="E805" t="n">
        <x:f>MAX(10,ROUNDDOWN((('Calculator'!$B$10+A805)*SQRT('Calculator'!$B$11+B805)*SQRT('Calculator'!$B$12+C805)*0.667934^2)/10,0))</x:f>
        <x:v>2868</x:v>
      </x:c>
      <x:c r="F805" t="n">
        <x:f>--AND(A805&gt;='Calculator'!$B$5,B805&gt;='Calculator'!$B$5,C805&gt;='Calculator'!$B$5)</x:f>
        <x:v>1</x:v>
      </x:c>
      <x:c r="G805" t="n">
        <x:f>--AND(A805+'Calculator'!$B$6&gt;=15,B805+'Calculator'!$B$6&gt;=15,C805+'Calculator'!$B$6&gt;=15)</x:f>
        <x:v>0</x:v>
      </x:c>
      <x:c r="H805" t="n">
        <x:f>--AND(F805=1,D805='Calculator'!$B$4)</x:f>
        <x:v>0</x:v>
      </x:c>
      <x:c r="I805" t="n">
        <x:f>--AND(H805=1,G805=1)</x:f>
        <x:v>0</x:v>
      </x:c>
      <x:c r="J805" t="n">
        <x:f>--AND(F805=1,E805='Calculator'!$B$4)</x:f>
        <x:v>0</x:v>
      </x:c>
      <x:c r="K805" t="n">
        <x:f>--AND(J805=1,G805=1)</x:f>
        <x:v>0</x:v>
      </x:c>
      <x:c r="L805" t="str">
        <x:f>A805&amp;"/"&amp;B805&amp;"/"&amp;C805</x:f>
        <x:v>14/6/9</x:v>
      </x:c>
      <x:c r="M805" t="str">
        <x:f>MIN(15,A805+'Calculator'!$B$6)&amp;"/"&amp;MIN(15,B805+'Calculator'!$B$6)&amp;"/"&amp;MIN(15,C805+'Calculator'!$B$6)</x:f>
        <x:v>15/8/11</x:v>
      </x:c>
    </x:row>
    <x:row r="806">
      <x:c r="A806" t="n">
        <x:v>14</x:v>
      </x:c>
      <x:c r="B806" t="n">
        <x:v>6</x:v>
      </x:c>
      <x:c r="C806" t="n">
        <x:v>10</x:v>
      </x:c>
      <x:c r="D806" t="n">
        <x:f>MAX(10,ROUNDDOWN((('Calculator'!$B$10+A806)*SQRT('Calculator'!$B$11+B806)*SQRT('Calculator'!$B$12+C806)*0.59740001^2)/10,0))</x:f>
        <x:v>2299</x:v>
      </x:c>
      <x:c r="E806" t="n">
        <x:f>MAX(10,ROUNDDOWN((('Calculator'!$B$10+A806)*SQRT('Calculator'!$B$11+B806)*SQRT('Calculator'!$B$12+C806)*0.667934^2)/10,0))</x:f>
        <x:v>2874</x:v>
      </x:c>
      <x:c r="F806" t="n">
        <x:f>--AND(A806&gt;='Calculator'!$B$5,B806&gt;='Calculator'!$B$5,C806&gt;='Calculator'!$B$5)</x:f>
        <x:v>1</x:v>
      </x:c>
      <x:c r="G806" t="n">
        <x:f>--AND(A806+'Calculator'!$B$6&gt;=15,B806+'Calculator'!$B$6&gt;=15,C806+'Calculator'!$B$6&gt;=15)</x:f>
        <x:v>0</x:v>
      </x:c>
      <x:c r="H806" t="n">
        <x:f>--AND(F806=1,D806='Calculator'!$B$4)</x:f>
        <x:v>0</x:v>
      </x:c>
      <x:c r="I806" t="n">
        <x:f>--AND(H806=1,G806=1)</x:f>
        <x:v>0</x:v>
      </x:c>
      <x:c r="J806" t="n">
        <x:f>--AND(F806=1,E806='Calculator'!$B$4)</x:f>
        <x:v>0</x:v>
      </x:c>
      <x:c r="K806" t="n">
        <x:f>--AND(J806=1,G806=1)</x:f>
        <x:v>0</x:v>
      </x:c>
      <x:c r="L806" t="str">
        <x:f>A806&amp;"/"&amp;B806&amp;"/"&amp;C806</x:f>
        <x:v>14/6/10</x:v>
      </x:c>
      <x:c r="M806" t="str">
        <x:f>MIN(15,A806+'Calculator'!$B$6)&amp;"/"&amp;MIN(15,B806+'Calculator'!$B$6)&amp;"/"&amp;MIN(15,C806+'Calculator'!$B$6)</x:f>
        <x:v>15/8/12</x:v>
      </x:c>
    </x:row>
    <x:row r="807">
      <x:c r="A807" t="n">
        <x:v>14</x:v>
      </x:c>
      <x:c r="B807" t="n">
        <x:v>6</x:v>
      </x:c>
      <x:c r="C807" t="n">
        <x:v>11</x:v>
      </x:c>
      <x:c r="D807" t="n">
        <x:f>MAX(10,ROUNDDOWN((('Calculator'!$B$10+A807)*SQRT('Calculator'!$B$11+B807)*SQRT('Calculator'!$B$12+C807)*0.59740001^2)/10,0))</x:f>
        <x:v>2304</x:v>
      </x:c>
      <x:c r="E807" t="n">
        <x:f>MAX(10,ROUNDDOWN((('Calculator'!$B$10+A807)*SQRT('Calculator'!$B$11+B807)*SQRT('Calculator'!$B$12+C807)*0.667934^2)/10,0))</x:f>
        <x:v>2881</x:v>
      </x:c>
      <x:c r="F807" t="n">
        <x:f>--AND(A807&gt;='Calculator'!$B$5,B807&gt;='Calculator'!$B$5,C807&gt;='Calculator'!$B$5)</x:f>
        <x:v>1</x:v>
      </x:c>
      <x:c r="G807" t="n">
        <x:f>--AND(A807+'Calculator'!$B$6&gt;=15,B807+'Calculator'!$B$6&gt;=15,C807+'Calculator'!$B$6&gt;=15)</x:f>
        <x:v>0</x:v>
      </x:c>
      <x:c r="H807" t="n">
        <x:f>--AND(F807=1,D807='Calculator'!$B$4)</x:f>
        <x:v>0</x:v>
      </x:c>
      <x:c r="I807" t="n">
        <x:f>--AND(H807=1,G807=1)</x:f>
        <x:v>0</x:v>
      </x:c>
      <x:c r="J807" t="n">
        <x:f>--AND(F807=1,E807='Calculator'!$B$4)</x:f>
        <x:v>0</x:v>
      </x:c>
      <x:c r="K807" t="n">
        <x:f>--AND(J807=1,G807=1)</x:f>
        <x:v>0</x:v>
      </x:c>
      <x:c r="L807" t="str">
        <x:f>A807&amp;"/"&amp;B807&amp;"/"&amp;C807</x:f>
        <x:v>14/6/11</x:v>
      </x:c>
      <x:c r="M807" t="str">
        <x:f>MIN(15,A807+'Calculator'!$B$6)&amp;"/"&amp;MIN(15,B807+'Calculator'!$B$6)&amp;"/"&amp;MIN(15,C807+'Calculator'!$B$6)</x:f>
        <x:v>15/8/13</x:v>
      </x:c>
    </x:row>
    <x:row r="808">
      <x:c r="A808" t="n">
        <x:v>14</x:v>
      </x:c>
      <x:c r="B808" t="n">
        <x:v>6</x:v>
      </x:c>
      <x:c r="C808" t="n">
        <x:v>12</x:v>
      </x:c>
      <x:c r="D808" t="n">
        <x:f>MAX(10,ROUNDDOWN((('Calculator'!$B$10+A808)*SQRT('Calculator'!$B$11+B808)*SQRT('Calculator'!$B$12+C808)*0.59740001^2)/10,0))</x:f>
        <x:v>2309</x:v>
      </x:c>
      <x:c r="E808" t="n">
        <x:f>MAX(10,ROUNDDOWN((('Calculator'!$B$10+A808)*SQRT('Calculator'!$B$11+B808)*SQRT('Calculator'!$B$12+C808)*0.667934^2)/10,0))</x:f>
        <x:v>2887</x:v>
      </x:c>
      <x:c r="F808" t="n">
        <x:f>--AND(A808&gt;='Calculator'!$B$5,B808&gt;='Calculator'!$B$5,C808&gt;='Calculator'!$B$5)</x:f>
        <x:v>1</x:v>
      </x:c>
      <x:c r="G808" t="n">
        <x:f>--AND(A808+'Calculator'!$B$6&gt;=15,B808+'Calculator'!$B$6&gt;=15,C808+'Calculator'!$B$6&gt;=15)</x:f>
        <x:v>0</x:v>
      </x:c>
      <x:c r="H808" t="n">
        <x:f>--AND(F808=1,D808='Calculator'!$B$4)</x:f>
        <x:v>0</x:v>
      </x:c>
      <x:c r="I808" t="n">
        <x:f>--AND(H808=1,G808=1)</x:f>
        <x:v>0</x:v>
      </x:c>
      <x:c r="J808" t="n">
        <x:f>--AND(F808=1,E808='Calculator'!$B$4)</x:f>
        <x:v>0</x:v>
      </x:c>
      <x:c r="K808" t="n">
        <x:f>--AND(J808=1,G808=1)</x:f>
        <x:v>0</x:v>
      </x:c>
      <x:c r="L808" t="str">
        <x:f>A808&amp;"/"&amp;B808&amp;"/"&amp;C808</x:f>
        <x:v>14/6/12</x:v>
      </x:c>
      <x:c r="M808" t="str">
        <x:f>MIN(15,A808+'Calculator'!$B$6)&amp;"/"&amp;MIN(15,B808+'Calculator'!$B$6)&amp;"/"&amp;MIN(15,C808+'Calculator'!$B$6)</x:f>
        <x:v>15/8/14</x:v>
      </x:c>
    </x:row>
    <x:row r="809">
      <x:c r="A809" t="n">
        <x:v>14</x:v>
      </x:c>
      <x:c r="B809" t="n">
        <x:v>6</x:v>
      </x:c>
      <x:c r="C809" t="n">
        <x:v>13</x:v>
      </x:c>
      <x:c r="D809" t="n">
        <x:f>MAX(10,ROUNDDOWN((('Calculator'!$B$10+A809)*SQRT('Calculator'!$B$11+B809)*SQRT('Calculator'!$B$12+C809)*0.59740001^2)/10,0))</x:f>
        <x:v>2315</x:v>
      </x:c>
      <x:c r="E809" t="n">
        <x:f>MAX(10,ROUNDDOWN((('Calculator'!$B$10+A809)*SQRT('Calculator'!$B$11+B809)*SQRT('Calculator'!$B$12+C809)*0.667934^2)/10,0))</x:f>
        <x:v>2893</x:v>
      </x:c>
      <x:c r="F809" t="n">
        <x:f>--AND(A809&gt;='Calculator'!$B$5,B809&gt;='Calculator'!$B$5,C809&gt;='Calculator'!$B$5)</x:f>
        <x:v>1</x:v>
      </x:c>
      <x:c r="G809" t="n">
        <x:f>--AND(A809+'Calculator'!$B$6&gt;=15,B809+'Calculator'!$B$6&gt;=15,C809+'Calculator'!$B$6&gt;=15)</x:f>
        <x:v>0</x:v>
      </x:c>
      <x:c r="H809" t="n">
        <x:f>--AND(F809=1,D809='Calculator'!$B$4)</x:f>
        <x:v>0</x:v>
      </x:c>
      <x:c r="I809" t="n">
        <x:f>--AND(H809=1,G809=1)</x:f>
        <x:v>0</x:v>
      </x:c>
      <x:c r="J809" t="n">
        <x:f>--AND(F809=1,E809='Calculator'!$B$4)</x:f>
        <x:v>0</x:v>
      </x:c>
      <x:c r="K809" t="n">
        <x:f>--AND(J809=1,G809=1)</x:f>
        <x:v>0</x:v>
      </x:c>
      <x:c r="L809" t="str">
        <x:f>A809&amp;"/"&amp;B809&amp;"/"&amp;C809</x:f>
        <x:v>14/6/13</x:v>
      </x:c>
      <x:c r="M809" t="str">
        <x:f>MIN(15,A809+'Calculator'!$B$6)&amp;"/"&amp;MIN(15,B809+'Calculator'!$B$6)&amp;"/"&amp;MIN(15,C809+'Calculator'!$B$6)</x:f>
        <x:v>15/8/15</x:v>
      </x:c>
    </x:row>
    <x:row r="810">
      <x:c r="A810" t="n">
        <x:v>14</x:v>
      </x:c>
      <x:c r="B810" t="n">
        <x:v>6</x:v>
      </x:c>
      <x:c r="C810" t="n">
        <x:v>14</x:v>
      </x:c>
      <x:c r="D810" t="n">
        <x:f>MAX(10,ROUNDDOWN((('Calculator'!$B$10+A810)*SQRT('Calculator'!$B$11+B810)*SQRT('Calculator'!$B$12+C810)*0.59740001^2)/10,0))</x:f>
        <x:v>2320</x:v>
      </x:c>
      <x:c r="E810" t="n">
        <x:f>MAX(10,ROUNDDOWN((('Calculator'!$B$10+A810)*SQRT('Calculator'!$B$11+B810)*SQRT('Calculator'!$B$12+C810)*0.667934^2)/10,0))</x:f>
        <x:v>2900</x:v>
      </x:c>
      <x:c r="F810" t="n">
        <x:f>--AND(A810&gt;='Calculator'!$B$5,B810&gt;='Calculator'!$B$5,C810&gt;='Calculator'!$B$5)</x:f>
        <x:v>1</x:v>
      </x:c>
      <x:c r="G810" t="n">
        <x:f>--AND(A810+'Calculator'!$B$6&gt;=15,B810+'Calculator'!$B$6&gt;=15,C810+'Calculator'!$B$6&gt;=15)</x:f>
        <x:v>0</x:v>
      </x:c>
      <x:c r="H810" t="n">
        <x:f>--AND(F810=1,D810='Calculator'!$B$4)</x:f>
        <x:v>0</x:v>
      </x:c>
      <x:c r="I810" t="n">
        <x:f>--AND(H810=1,G810=1)</x:f>
        <x:v>0</x:v>
      </x:c>
      <x:c r="J810" t="n">
        <x:f>--AND(F810=1,E810='Calculator'!$B$4)</x:f>
        <x:v>0</x:v>
      </x:c>
      <x:c r="K810" t="n">
        <x:f>--AND(J810=1,G810=1)</x:f>
        <x:v>0</x:v>
      </x:c>
      <x:c r="L810" t="str">
        <x:f>A810&amp;"/"&amp;B810&amp;"/"&amp;C810</x:f>
        <x:v>14/6/14</x:v>
      </x:c>
      <x:c r="M810" t="str">
        <x:f>MIN(15,A810+'Calculator'!$B$6)&amp;"/"&amp;MIN(15,B810+'Calculator'!$B$6)&amp;"/"&amp;MIN(15,C810+'Calculator'!$B$6)</x:f>
        <x:v>15/8/15</x:v>
      </x:c>
    </x:row>
    <x:row r="811">
      <x:c r="A811" t="n">
        <x:v>14</x:v>
      </x:c>
      <x:c r="B811" t="n">
        <x:v>6</x:v>
      </x:c>
      <x:c r="C811" t="n">
        <x:v>15</x:v>
      </x:c>
      <x:c r="D811" t="n">
        <x:f>MAX(10,ROUNDDOWN((('Calculator'!$B$10+A811)*SQRT('Calculator'!$B$11+B811)*SQRT('Calculator'!$B$12+C811)*0.59740001^2)/10,0))</x:f>
        <x:v>2325</x:v>
      </x:c>
      <x:c r="E811" t="n">
        <x:f>MAX(10,ROUNDDOWN((('Calculator'!$B$10+A811)*SQRT('Calculator'!$B$11+B811)*SQRT('Calculator'!$B$12+C811)*0.667934^2)/10,0))</x:f>
        <x:v>2906</x:v>
      </x:c>
      <x:c r="F811" t="n">
        <x:f>--AND(A811&gt;='Calculator'!$B$5,B811&gt;='Calculator'!$B$5,C811&gt;='Calculator'!$B$5)</x:f>
        <x:v>1</x:v>
      </x:c>
      <x:c r="G811" t="n">
        <x:f>--AND(A811+'Calculator'!$B$6&gt;=15,B811+'Calculator'!$B$6&gt;=15,C811+'Calculator'!$B$6&gt;=15)</x:f>
        <x:v>0</x:v>
      </x:c>
      <x:c r="H811" t="n">
        <x:f>--AND(F811=1,D811='Calculator'!$B$4)</x:f>
        <x:v>0</x:v>
      </x:c>
      <x:c r="I811" t="n">
        <x:f>--AND(H811=1,G811=1)</x:f>
        <x:v>0</x:v>
      </x:c>
      <x:c r="J811" t="n">
        <x:f>--AND(F811=1,E811='Calculator'!$B$4)</x:f>
        <x:v>0</x:v>
      </x:c>
      <x:c r="K811" t="n">
        <x:f>--AND(J811=1,G811=1)</x:f>
        <x:v>0</x:v>
      </x:c>
      <x:c r="L811" t="str">
        <x:f>A811&amp;"/"&amp;B811&amp;"/"&amp;C811</x:f>
        <x:v>14/6/15</x:v>
      </x:c>
      <x:c r="M811" t="str">
        <x:f>MIN(15,A811+'Calculator'!$B$6)&amp;"/"&amp;MIN(15,B811+'Calculator'!$B$6)&amp;"/"&amp;MIN(15,C811+'Calculator'!$B$6)</x:f>
        <x:v>15/8/15</x:v>
      </x:c>
    </x:row>
    <x:row r="812">
      <x:c r="A812" t="n">
        <x:v>14</x:v>
      </x:c>
      <x:c r="B812" t="n">
        <x:v>7</x:v>
      </x:c>
      <x:c r="C812" t="n">
        <x:v>6</x:v>
      </x:c>
      <x:c r="D812" t="n">
        <x:f>MAX(10,ROUNDDOWN((('Calculator'!$B$10+A812)*SQRT('Calculator'!$B$11+B812)*SQRT('Calculator'!$B$12+C812)*0.59740001^2)/10,0))</x:f>
        <x:v>2285</x:v>
      </x:c>
      <x:c r="E812" t="n">
        <x:f>MAX(10,ROUNDDOWN((('Calculator'!$B$10+A812)*SQRT('Calculator'!$B$11+B812)*SQRT('Calculator'!$B$12+C812)*0.667934^2)/10,0))</x:f>
        <x:v>2856</x:v>
      </x:c>
      <x:c r="F812" t="n">
        <x:f>--AND(A812&gt;='Calculator'!$B$5,B812&gt;='Calculator'!$B$5,C812&gt;='Calculator'!$B$5)</x:f>
        <x:v>1</x:v>
      </x:c>
      <x:c r="G812" t="n">
        <x:f>--AND(A812+'Calculator'!$B$6&gt;=15,B812+'Calculator'!$B$6&gt;=15,C812+'Calculator'!$B$6&gt;=15)</x:f>
        <x:v>0</x:v>
      </x:c>
      <x:c r="H812" t="n">
        <x:f>--AND(F812=1,D812='Calculator'!$B$4)</x:f>
        <x:v>0</x:v>
      </x:c>
      <x:c r="I812" t="n">
        <x:f>--AND(H812=1,G812=1)</x:f>
        <x:v>0</x:v>
      </x:c>
      <x:c r="J812" t="n">
        <x:f>--AND(F812=1,E812='Calculator'!$B$4)</x:f>
        <x:v>0</x:v>
      </x:c>
      <x:c r="K812" t="n">
        <x:f>--AND(J812=1,G812=1)</x:f>
        <x:v>0</x:v>
      </x:c>
      <x:c r="L812" t="str">
        <x:f>A812&amp;"/"&amp;B812&amp;"/"&amp;C812</x:f>
        <x:v>14/7/6</x:v>
      </x:c>
      <x:c r="M812" t="str">
        <x:f>MIN(15,A812+'Calculator'!$B$6)&amp;"/"&amp;MIN(15,B812+'Calculator'!$B$6)&amp;"/"&amp;MIN(15,C812+'Calculator'!$B$6)</x:f>
        <x:v>15/9/8</x:v>
      </x:c>
    </x:row>
    <x:row r="813">
      <x:c r="A813" t="n">
        <x:v>14</x:v>
      </x:c>
      <x:c r="B813" t="n">
        <x:v>7</x:v>
      </x:c>
      <x:c r="C813" t="n">
        <x:v>7</x:v>
      </x:c>
      <x:c r="D813" t="n">
        <x:f>MAX(10,ROUNDDOWN((('Calculator'!$B$10+A813)*SQRT('Calculator'!$B$11+B813)*SQRT('Calculator'!$B$12+C813)*0.59740001^2)/10,0))</x:f>
        <x:v>2290</x:v>
      </x:c>
      <x:c r="E813" t="n">
        <x:f>MAX(10,ROUNDDOWN((('Calculator'!$B$10+A813)*SQRT('Calculator'!$B$11+B813)*SQRT('Calculator'!$B$12+C813)*0.667934^2)/10,0))</x:f>
        <x:v>2863</x:v>
      </x:c>
      <x:c r="F813" t="n">
        <x:f>--AND(A813&gt;='Calculator'!$B$5,B813&gt;='Calculator'!$B$5,C813&gt;='Calculator'!$B$5)</x:f>
        <x:v>1</x:v>
      </x:c>
      <x:c r="G813" t="n">
        <x:f>--AND(A813+'Calculator'!$B$6&gt;=15,B813+'Calculator'!$B$6&gt;=15,C813+'Calculator'!$B$6&gt;=15)</x:f>
        <x:v>0</x:v>
      </x:c>
      <x:c r="H813" t="n">
        <x:f>--AND(F813=1,D813='Calculator'!$B$4)</x:f>
        <x:v>0</x:v>
      </x:c>
      <x:c r="I813" t="n">
        <x:f>--AND(H813=1,G813=1)</x:f>
        <x:v>0</x:v>
      </x:c>
      <x:c r="J813" t="n">
        <x:f>--AND(F813=1,E813='Calculator'!$B$4)</x:f>
        <x:v>0</x:v>
      </x:c>
      <x:c r="K813" t="n">
        <x:f>--AND(J813=1,G813=1)</x:f>
        <x:v>0</x:v>
      </x:c>
      <x:c r="L813" t="str">
        <x:f>A813&amp;"/"&amp;B813&amp;"/"&amp;C813</x:f>
        <x:v>14/7/7</x:v>
      </x:c>
      <x:c r="M813" t="str">
        <x:f>MIN(15,A813+'Calculator'!$B$6)&amp;"/"&amp;MIN(15,B813+'Calculator'!$B$6)&amp;"/"&amp;MIN(15,C813+'Calculator'!$B$6)</x:f>
        <x:v>15/9/9</x:v>
      </x:c>
    </x:row>
    <x:row r="814">
      <x:c r="A814" t="n">
        <x:v>14</x:v>
      </x:c>
      <x:c r="B814" t="n">
        <x:v>7</x:v>
      </x:c>
      <x:c r="C814" t="n">
        <x:v>8</x:v>
      </x:c>
      <x:c r="D814" t="n">
        <x:f>MAX(10,ROUNDDOWN((('Calculator'!$B$10+A814)*SQRT('Calculator'!$B$11+B814)*SQRT('Calculator'!$B$12+C814)*0.59740001^2)/10,0))</x:f>
        <x:v>2295</x:v>
      </x:c>
      <x:c r="E814" t="n">
        <x:f>MAX(10,ROUNDDOWN((('Calculator'!$B$10+A814)*SQRT('Calculator'!$B$11+B814)*SQRT('Calculator'!$B$12+C814)*0.667934^2)/10,0))</x:f>
        <x:v>2869</x:v>
      </x:c>
      <x:c r="F814" t="n">
        <x:f>--AND(A814&gt;='Calculator'!$B$5,B814&gt;='Calculator'!$B$5,C814&gt;='Calculator'!$B$5)</x:f>
        <x:v>1</x:v>
      </x:c>
      <x:c r="G814" t="n">
        <x:f>--AND(A814+'Calculator'!$B$6&gt;=15,B814+'Calculator'!$B$6&gt;=15,C814+'Calculator'!$B$6&gt;=15)</x:f>
        <x:v>0</x:v>
      </x:c>
      <x:c r="H814" t="n">
        <x:f>--AND(F814=1,D814='Calculator'!$B$4)</x:f>
        <x:v>0</x:v>
      </x:c>
      <x:c r="I814" t="n">
        <x:f>--AND(H814=1,G814=1)</x:f>
        <x:v>0</x:v>
      </x:c>
      <x:c r="J814" t="n">
        <x:f>--AND(F814=1,E814='Calculator'!$B$4)</x:f>
        <x:v>0</x:v>
      </x:c>
      <x:c r="K814" t="n">
        <x:f>--AND(J814=1,G814=1)</x:f>
        <x:v>0</x:v>
      </x:c>
      <x:c r="L814" t="str">
        <x:f>A814&amp;"/"&amp;B814&amp;"/"&amp;C814</x:f>
        <x:v>14/7/8</x:v>
      </x:c>
      <x:c r="M814" t="str">
        <x:f>MIN(15,A814+'Calculator'!$B$6)&amp;"/"&amp;MIN(15,B814+'Calculator'!$B$6)&amp;"/"&amp;MIN(15,C814+'Calculator'!$B$6)</x:f>
        <x:v>15/9/10</x:v>
      </x:c>
    </x:row>
    <x:row r="815">
      <x:c r="A815" t="n">
        <x:v>14</x:v>
      </x:c>
      <x:c r="B815" t="n">
        <x:v>7</x:v>
      </x:c>
      <x:c r="C815" t="n">
        <x:v>9</x:v>
      </x:c>
      <x:c r="D815" t="n">
        <x:f>MAX(10,ROUNDDOWN((('Calculator'!$B$10+A815)*SQRT('Calculator'!$B$11+B815)*SQRT('Calculator'!$B$12+C815)*0.59740001^2)/10,0))</x:f>
        <x:v>2300</x:v>
      </x:c>
      <x:c r="E815" t="n">
        <x:f>MAX(10,ROUNDDOWN((('Calculator'!$B$10+A815)*SQRT('Calculator'!$B$11+B815)*SQRT('Calculator'!$B$12+C815)*0.667934^2)/10,0))</x:f>
        <x:v>2875</x:v>
      </x:c>
      <x:c r="F815" t="n">
        <x:f>--AND(A815&gt;='Calculator'!$B$5,B815&gt;='Calculator'!$B$5,C815&gt;='Calculator'!$B$5)</x:f>
        <x:v>1</x:v>
      </x:c>
      <x:c r="G815" t="n">
        <x:f>--AND(A815+'Calculator'!$B$6&gt;=15,B815+'Calculator'!$B$6&gt;=15,C815+'Calculator'!$B$6&gt;=15)</x:f>
        <x:v>0</x:v>
      </x:c>
      <x:c r="H815" t="n">
        <x:f>--AND(F815=1,D815='Calculator'!$B$4)</x:f>
        <x:v>0</x:v>
      </x:c>
      <x:c r="I815" t="n">
        <x:f>--AND(H815=1,G815=1)</x:f>
        <x:v>0</x:v>
      </x:c>
      <x:c r="J815" t="n">
        <x:f>--AND(F815=1,E815='Calculator'!$B$4)</x:f>
        <x:v>0</x:v>
      </x:c>
      <x:c r="K815" t="n">
        <x:f>--AND(J815=1,G815=1)</x:f>
        <x:v>0</x:v>
      </x:c>
      <x:c r="L815" t="str">
        <x:f>A815&amp;"/"&amp;B815&amp;"/"&amp;C815</x:f>
        <x:v>14/7/9</x:v>
      </x:c>
      <x:c r="M815" t="str">
        <x:f>MIN(15,A815+'Calculator'!$B$6)&amp;"/"&amp;MIN(15,B815+'Calculator'!$B$6)&amp;"/"&amp;MIN(15,C815+'Calculator'!$B$6)</x:f>
        <x:v>15/9/11</x:v>
      </x:c>
    </x:row>
    <x:row r="816">
      <x:c r="A816" t="n">
        <x:v>14</x:v>
      </x:c>
      <x:c r="B816" t="n">
        <x:v>7</x:v>
      </x:c>
      <x:c r="C816" t="n">
        <x:v>10</x:v>
      </x:c>
      <x:c r="D816" t="n">
        <x:f>MAX(10,ROUNDDOWN((('Calculator'!$B$10+A816)*SQRT('Calculator'!$B$11+B816)*SQRT('Calculator'!$B$12+C816)*0.59740001^2)/10,0))</x:f>
        <x:v>2305</x:v>
      </x:c>
      <x:c r="E816" t="n">
        <x:f>MAX(10,ROUNDDOWN((('Calculator'!$B$10+A816)*SQRT('Calculator'!$B$11+B816)*SQRT('Calculator'!$B$12+C816)*0.667934^2)/10,0))</x:f>
        <x:v>2882</x:v>
      </x:c>
      <x:c r="F816" t="n">
        <x:f>--AND(A816&gt;='Calculator'!$B$5,B816&gt;='Calculator'!$B$5,C816&gt;='Calculator'!$B$5)</x:f>
        <x:v>1</x:v>
      </x:c>
      <x:c r="G816" t="n">
        <x:f>--AND(A816+'Calculator'!$B$6&gt;=15,B816+'Calculator'!$B$6&gt;=15,C816+'Calculator'!$B$6&gt;=15)</x:f>
        <x:v>0</x:v>
      </x:c>
      <x:c r="H816" t="n">
        <x:f>--AND(F816=1,D816='Calculator'!$B$4)</x:f>
        <x:v>0</x:v>
      </x:c>
      <x:c r="I816" t="n">
        <x:f>--AND(H816=1,G816=1)</x:f>
        <x:v>0</x:v>
      </x:c>
      <x:c r="J816" t="n">
        <x:f>--AND(F816=1,E816='Calculator'!$B$4)</x:f>
        <x:v>0</x:v>
      </x:c>
      <x:c r="K816" t="n">
        <x:f>--AND(J816=1,G816=1)</x:f>
        <x:v>0</x:v>
      </x:c>
      <x:c r="L816" t="str">
        <x:f>A816&amp;"/"&amp;B816&amp;"/"&amp;C816</x:f>
        <x:v>14/7/10</x:v>
      </x:c>
      <x:c r="M816" t="str">
        <x:f>MIN(15,A816+'Calculator'!$B$6)&amp;"/"&amp;MIN(15,B816+'Calculator'!$B$6)&amp;"/"&amp;MIN(15,C816+'Calculator'!$B$6)</x:f>
        <x:v>15/9/12</x:v>
      </x:c>
    </x:row>
    <x:row r="817">
      <x:c r="A817" t="n">
        <x:v>14</x:v>
      </x:c>
      <x:c r="B817" t="n">
        <x:v>7</x:v>
      </x:c>
      <x:c r="C817" t="n">
        <x:v>11</x:v>
      </x:c>
      <x:c r="D817" t="n">
        <x:f>MAX(10,ROUNDDOWN((('Calculator'!$B$10+A817)*SQRT('Calculator'!$B$11+B817)*SQRT('Calculator'!$B$12+C817)*0.59740001^2)/10,0))</x:f>
        <x:v>2310</x:v>
      </x:c>
      <x:c r="E817" t="n">
        <x:f>MAX(10,ROUNDDOWN((('Calculator'!$B$10+A817)*SQRT('Calculator'!$B$11+B817)*SQRT('Calculator'!$B$12+C817)*0.667934^2)/10,0))</x:f>
        <x:v>2888</x:v>
      </x:c>
      <x:c r="F817" t="n">
        <x:f>--AND(A817&gt;='Calculator'!$B$5,B817&gt;='Calculator'!$B$5,C817&gt;='Calculator'!$B$5)</x:f>
        <x:v>1</x:v>
      </x:c>
      <x:c r="G817" t="n">
        <x:f>--AND(A817+'Calculator'!$B$6&gt;=15,B817+'Calculator'!$B$6&gt;=15,C817+'Calculator'!$B$6&gt;=15)</x:f>
        <x:v>0</x:v>
      </x:c>
      <x:c r="H817" t="n">
        <x:f>--AND(F817=1,D817='Calculator'!$B$4)</x:f>
        <x:v>0</x:v>
      </x:c>
      <x:c r="I817" t="n">
        <x:f>--AND(H817=1,G817=1)</x:f>
        <x:v>0</x:v>
      </x:c>
      <x:c r="J817" t="n">
        <x:f>--AND(F817=1,E817='Calculator'!$B$4)</x:f>
        <x:v>0</x:v>
      </x:c>
      <x:c r="K817" t="n">
        <x:f>--AND(J817=1,G817=1)</x:f>
        <x:v>0</x:v>
      </x:c>
      <x:c r="L817" t="str">
        <x:f>A817&amp;"/"&amp;B817&amp;"/"&amp;C817</x:f>
        <x:v>14/7/11</x:v>
      </x:c>
      <x:c r="M817" t="str">
        <x:f>MIN(15,A817+'Calculator'!$B$6)&amp;"/"&amp;MIN(15,B817+'Calculator'!$B$6)&amp;"/"&amp;MIN(15,C817+'Calculator'!$B$6)</x:f>
        <x:v>15/9/13</x:v>
      </x:c>
    </x:row>
    <x:row r="818">
      <x:c r="A818" t="n">
        <x:v>14</x:v>
      </x:c>
      <x:c r="B818" t="n">
        <x:v>7</x:v>
      </x:c>
      <x:c r="C818" t="n">
        <x:v>12</x:v>
      </x:c>
      <x:c r="D818" t="n">
        <x:f>MAX(10,ROUNDDOWN((('Calculator'!$B$10+A818)*SQRT('Calculator'!$B$11+B818)*SQRT('Calculator'!$B$12+C818)*0.59740001^2)/10,0))</x:f>
        <x:v>2316</x:v>
      </x:c>
      <x:c r="E818" t="n">
        <x:f>MAX(10,ROUNDDOWN((('Calculator'!$B$10+A818)*SQRT('Calculator'!$B$11+B818)*SQRT('Calculator'!$B$12+C818)*0.667934^2)/10,0))</x:f>
        <x:v>2895</x:v>
      </x:c>
      <x:c r="F818" t="n">
        <x:f>--AND(A818&gt;='Calculator'!$B$5,B818&gt;='Calculator'!$B$5,C818&gt;='Calculator'!$B$5)</x:f>
        <x:v>1</x:v>
      </x:c>
      <x:c r="G818" t="n">
        <x:f>--AND(A818+'Calculator'!$B$6&gt;=15,B818+'Calculator'!$B$6&gt;=15,C818+'Calculator'!$B$6&gt;=15)</x:f>
        <x:v>0</x:v>
      </x:c>
      <x:c r="H818" t="n">
        <x:f>--AND(F818=1,D818='Calculator'!$B$4)</x:f>
        <x:v>0</x:v>
      </x:c>
      <x:c r="I818" t="n">
        <x:f>--AND(H818=1,G818=1)</x:f>
        <x:v>0</x:v>
      </x:c>
      <x:c r="J818" t="n">
        <x:f>--AND(F818=1,E818='Calculator'!$B$4)</x:f>
        <x:v>0</x:v>
      </x:c>
      <x:c r="K818" t="n">
        <x:f>--AND(J818=1,G818=1)</x:f>
        <x:v>0</x:v>
      </x:c>
      <x:c r="L818" t="str">
        <x:f>A818&amp;"/"&amp;B818&amp;"/"&amp;C818</x:f>
        <x:v>14/7/12</x:v>
      </x:c>
      <x:c r="M818" t="str">
        <x:f>MIN(15,A818+'Calculator'!$B$6)&amp;"/"&amp;MIN(15,B818+'Calculator'!$B$6)&amp;"/"&amp;MIN(15,C818+'Calculator'!$B$6)</x:f>
        <x:v>15/9/14</x:v>
      </x:c>
    </x:row>
    <x:row r="819">
      <x:c r="A819" t="n">
        <x:v>14</x:v>
      </x:c>
      <x:c r="B819" t="n">
        <x:v>7</x:v>
      </x:c>
      <x:c r="C819" t="n">
        <x:v>13</x:v>
      </x:c>
      <x:c r="D819" t="n">
        <x:f>MAX(10,ROUNDDOWN((('Calculator'!$B$10+A819)*SQRT('Calculator'!$B$11+B819)*SQRT('Calculator'!$B$12+C819)*0.59740001^2)/10,0))</x:f>
        <x:v>2321</x:v>
      </x:c>
      <x:c r="E819" t="n">
        <x:f>MAX(10,ROUNDDOWN((('Calculator'!$B$10+A819)*SQRT('Calculator'!$B$11+B819)*SQRT('Calculator'!$B$12+C819)*0.667934^2)/10,0))</x:f>
        <x:v>2901</x:v>
      </x:c>
      <x:c r="F819" t="n">
        <x:f>--AND(A819&gt;='Calculator'!$B$5,B819&gt;='Calculator'!$B$5,C819&gt;='Calculator'!$B$5)</x:f>
        <x:v>1</x:v>
      </x:c>
      <x:c r="G819" t="n">
        <x:f>--AND(A819+'Calculator'!$B$6&gt;=15,B819+'Calculator'!$B$6&gt;=15,C819+'Calculator'!$B$6&gt;=15)</x:f>
        <x:v>0</x:v>
      </x:c>
      <x:c r="H819" t="n">
        <x:f>--AND(F819=1,D819='Calculator'!$B$4)</x:f>
        <x:v>0</x:v>
      </x:c>
      <x:c r="I819" t="n">
        <x:f>--AND(H819=1,G819=1)</x:f>
        <x:v>0</x:v>
      </x:c>
      <x:c r="J819" t="n">
        <x:f>--AND(F819=1,E819='Calculator'!$B$4)</x:f>
        <x:v>0</x:v>
      </x:c>
      <x:c r="K819" t="n">
        <x:f>--AND(J819=1,G819=1)</x:f>
        <x:v>0</x:v>
      </x:c>
      <x:c r="L819" t="str">
        <x:f>A819&amp;"/"&amp;B819&amp;"/"&amp;C819</x:f>
        <x:v>14/7/13</x:v>
      </x:c>
      <x:c r="M819" t="str">
        <x:f>MIN(15,A819+'Calculator'!$B$6)&amp;"/"&amp;MIN(15,B819+'Calculator'!$B$6)&amp;"/"&amp;MIN(15,C819+'Calculator'!$B$6)</x:f>
        <x:v>15/9/15</x:v>
      </x:c>
    </x:row>
    <x:row r="820">
      <x:c r="A820" t="n">
        <x:v>14</x:v>
      </x:c>
      <x:c r="B820" t="n">
        <x:v>7</x:v>
      </x:c>
      <x:c r="C820" t="n">
        <x:v>14</x:v>
      </x:c>
      <x:c r="D820" t="n">
        <x:f>MAX(10,ROUNDDOWN((('Calculator'!$B$10+A820)*SQRT('Calculator'!$B$11+B820)*SQRT('Calculator'!$B$12+C820)*0.59740001^2)/10,0))</x:f>
        <x:v>2326</x:v>
      </x:c>
      <x:c r="E820" t="n">
        <x:f>MAX(10,ROUNDDOWN((('Calculator'!$B$10+A820)*SQRT('Calculator'!$B$11+B820)*SQRT('Calculator'!$B$12+C820)*0.667934^2)/10,0))</x:f>
        <x:v>2908</x:v>
      </x:c>
      <x:c r="F820" t="n">
        <x:f>--AND(A820&gt;='Calculator'!$B$5,B820&gt;='Calculator'!$B$5,C820&gt;='Calculator'!$B$5)</x:f>
        <x:v>1</x:v>
      </x:c>
      <x:c r="G820" t="n">
        <x:f>--AND(A820+'Calculator'!$B$6&gt;=15,B820+'Calculator'!$B$6&gt;=15,C820+'Calculator'!$B$6&gt;=15)</x:f>
        <x:v>0</x:v>
      </x:c>
      <x:c r="H820" t="n">
        <x:f>--AND(F820=1,D820='Calculator'!$B$4)</x:f>
        <x:v>0</x:v>
      </x:c>
      <x:c r="I820" t="n">
        <x:f>--AND(H820=1,G820=1)</x:f>
        <x:v>0</x:v>
      </x:c>
      <x:c r="J820" t="n">
        <x:f>--AND(F820=1,E820='Calculator'!$B$4)</x:f>
        <x:v>0</x:v>
      </x:c>
      <x:c r="K820" t="n">
        <x:f>--AND(J820=1,G820=1)</x:f>
        <x:v>0</x:v>
      </x:c>
      <x:c r="L820" t="str">
        <x:f>A820&amp;"/"&amp;B820&amp;"/"&amp;C820</x:f>
        <x:v>14/7/14</x:v>
      </x:c>
      <x:c r="M820" t="str">
        <x:f>MIN(15,A820+'Calculator'!$B$6)&amp;"/"&amp;MIN(15,B820+'Calculator'!$B$6)&amp;"/"&amp;MIN(15,C820+'Calculator'!$B$6)</x:f>
        <x:v>15/9/15</x:v>
      </x:c>
    </x:row>
    <x:row r="821">
      <x:c r="A821" t="n">
        <x:v>14</x:v>
      </x:c>
      <x:c r="B821" t="n">
        <x:v>7</x:v>
      </x:c>
      <x:c r="C821" t="n">
        <x:v>15</x:v>
      </x:c>
      <x:c r="D821" t="n">
        <x:f>MAX(10,ROUNDDOWN((('Calculator'!$B$10+A821)*SQRT('Calculator'!$B$11+B821)*SQRT('Calculator'!$B$12+C821)*0.59740001^2)/10,0))</x:f>
        <x:v>2331</x:v>
      </x:c>
      <x:c r="E821" t="n">
        <x:f>MAX(10,ROUNDDOWN((('Calculator'!$B$10+A821)*SQRT('Calculator'!$B$11+B821)*SQRT('Calculator'!$B$12+C821)*0.667934^2)/10,0))</x:f>
        <x:v>2914</x:v>
      </x:c>
      <x:c r="F821" t="n">
        <x:f>--AND(A821&gt;='Calculator'!$B$5,B821&gt;='Calculator'!$B$5,C821&gt;='Calculator'!$B$5)</x:f>
        <x:v>1</x:v>
      </x:c>
      <x:c r="G821" t="n">
        <x:f>--AND(A821+'Calculator'!$B$6&gt;=15,B821+'Calculator'!$B$6&gt;=15,C821+'Calculator'!$B$6&gt;=15)</x:f>
        <x:v>0</x:v>
      </x:c>
      <x:c r="H821" t="n">
        <x:f>--AND(F821=1,D821='Calculator'!$B$4)</x:f>
        <x:v>0</x:v>
      </x:c>
      <x:c r="I821" t="n">
        <x:f>--AND(H821=1,G821=1)</x:f>
        <x:v>0</x:v>
      </x:c>
      <x:c r="J821" t="n">
        <x:f>--AND(F821=1,E821='Calculator'!$B$4)</x:f>
        <x:v>0</x:v>
      </x:c>
      <x:c r="K821" t="n">
        <x:f>--AND(J821=1,G821=1)</x:f>
        <x:v>0</x:v>
      </x:c>
      <x:c r="L821" t="str">
        <x:f>A821&amp;"/"&amp;B821&amp;"/"&amp;C821</x:f>
        <x:v>14/7/15</x:v>
      </x:c>
      <x:c r="M821" t="str">
        <x:f>MIN(15,A821+'Calculator'!$B$6)&amp;"/"&amp;MIN(15,B821+'Calculator'!$B$6)&amp;"/"&amp;MIN(15,C821+'Calculator'!$B$6)</x:f>
        <x:v>15/9/15</x:v>
      </x:c>
    </x:row>
    <x:row r="822">
      <x:c r="A822" t="n">
        <x:v>14</x:v>
      </x:c>
      <x:c r="B822" t="n">
        <x:v>8</x:v>
      </x:c>
      <x:c r="C822" t="n">
        <x:v>6</x:v>
      </x:c>
      <x:c r="D822" t="n">
        <x:f>MAX(10,ROUNDDOWN((('Calculator'!$B$10+A822)*SQRT('Calculator'!$B$11+B822)*SQRT('Calculator'!$B$12+C822)*0.59740001^2)/10,0))</x:f>
        <x:v>2291</x:v>
      </x:c>
      <x:c r="E822" t="n">
        <x:f>MAX(10,ROUNDDOWN((('Calculator'!$B$10+A822)*SQRT('Calculator'!$B$11+B822)*SQRT('Calculator'!$B$12+C822)*0.667934^2)/10,0))</x:f>
        <x:v>2864</x:v>
      </x:c>
      <x:c r="F822" t="n">
        <x:f>--AND(A822&gt;='Calculator'!$B$5,B822&gt;='Calculator'!$B$5,C822&gt;='Calculator'!$B$5)</x:f>
        <x:v>1</x:v>
      </x:c>
      <x:c r="G822" t="n">
        <x:f>--AND(A822+'Calculator'!$B$6&gt;=15,B822+'Calculator'!$B$6&gt;=15,C822+'Calculator'!$B$6&gt;=15)</x:f>
        <x:v>0</x:v>
      </x:c>
      <x:c r="H822" t="n">
        <x:f>--AND(F822=1,D822='Calculator'!$B$4)</x:f>
        <x:v>0</x:v>
      </x:c>
      <x:c r="I822" t="n">
        <x:f>--AND(H822=1,G822=1)</x:f>
        <x:v>0</x:v>
      </x:c>
      <x:c r="J822" t="n">
        <x:f>--AND(F822=1,E822='Calculator'!$B$4)</x:f>
        <x:v>0</x:v>
      </x:c>
      <x:c r="K822" t="n">
        <x:f>--AND(J822=1,G822=1)</x:f>
        <x:v>0</x:v>
      </x:c>
      <x:c r="L822" t="str">
        <x:f>A822&amp;"/"&amp;B822&amp;"/"&amp;C822</x:f>
        <x:v>14/8/6</x:v>
      </x:c>
      <x:c r="M822" t="str">
        <x:f>MIN(15,A822+'Calculator'!$B$6)&amp;"/"&amp;MIN(15,B822+'Calculator'!$B$6)&amp;"/"&amp;MIN(15,C822+'Calculator'!$B$6)</x:f>
        <x:v>15/10/8</x:v>
      </x:c>
    </x:row>
    <x:row r="823">
      <x:c r="A823" t="n">
        <x:v>14</x:v>
      </x:c>
      <x:c r="B823" t="n">
        <x:v>8</x:v>
      </x:c>
      <x:c r="C823" t="n">
        <x:v>7</x:v>
      </x:c>
      <x:c r="D823" t="n">
        <x:f>MAX(10,ROUNDDOWN((('Calculator'!$B$10+A823)*SQRT('Calculator'!$B$11+B823)*SQRT('Calculator'!$B$12+C823)*0.59740001^2)/10,0))</x:f>
        <x:v>2296</x:v>
      </x:c>
      <x:c r="E823" t="n">
        <x:f>MAX(10,ROUNDDOWN((('Calculator'!$B$10+A823)*SQRT('Calculator'!$B$11+B823)*SQRT('Calculator'!$B$12+C823)*0.667934^2)/10,0))</x:f>
        <x:v>2870</x:v>
      </x:c>
      <x:c r="F823" t="n">
        <x:f>--AND(A823&gt;='Calculator'!$B$5,B823&gt;='Calculator'!$B$5,C823&gt;='Calculator'!$B$5)</x:f>
        <x:v>1</x:v>
      </x:c>
      <x:c r="G823" t="n">
        <x:f>--AND(A823+'Calculator'!$B$6&gt;=15,B823+'Calculator'!$B$6&gt;=15,C823+'Calculator'!$B$6&gt;=15)</x:f>
        <x:v>0</x:v>
      </x:c>
      <x:c r="H823" t="n">
        <x:f>--AND(F823=1,D823='Calculator'!$B$4)</x:f>
        <x:v>0</x:v>
      </x:c>
      <x:c r="I823" t="n">
        <x:f>--AND(H823=1,G823=1)</x:f>
        <x:v>0</x:v>
      </x:c>
      <x:c r="J823" t="n">
        <x:f>--AND(F823=1,E823='Calculator'!$B$4)</x:f>
        <x:v>0</x:v>
      </x:c>
      <x:c r="K823" t="n">
        <x:f>--AND(J823=1,G823=1)</x:f>
        <x:v>0</x:v>
      </x:c>
      <x:c r="L823" t="str">
        <x:f>A823&amp;"/"&amp;B823&amp;"/"&amp;C823</x:f>
        <x:v>14/8/7</x:v>
      </x:c>
      <x:c r="M823" t="str">
        <x:f>MIN(15,A823+'Calculator'!$B$6)&amp;"/"&amp;MIN(15,B823+'Calculator'!$B$6)&amp;"/"&amp;MIN(15,C823+'Calculator'!$B$6)</x:f>
        <x:v>15/10/9</x:v>
      </x:c>
    </x:row>
    <x:row r="824">
      <x:c r="A824" t="n">
        <x:v>14</x:v>
      </x:c>
      <x:c r="B824" t="n">
        <x:v>8</x:v>
      </x:c>
      <x:c r="C824" t="n">
        <x:v>8</x:v>
      </x:c>
      <x:c r="D824" t="n">
        <x:f>MAX(10,ROUNDDOWN((('Calculator'!$B$10+A824)*SQRT('Calculator'!$B$11+B824)*SQRT('Calculator'!$B$12+C824)*0.59740001^2)/10,0))</x:f>
        <x:v>2301</x:v>
      </x:c>
      <x:c r="E824" t="n">
        <x:f>MAX(10,ROUNDDOWN((('Calculator'!$B$10+A824)*SQRT('Calculator'!$B$11+B824)*SQRT('Calculator'!$B$12+C824)*0.667934^2)/10,0))</x:f>
        <x:v>2877</x:v>
      </x:c>
      <x:c r="F824" t="n">
        <x:f>--AND(A824&gt;='Calculator'!$B$5,B824&gt;='Calculator'!$B$5,C824&gt;='Calculator'!$B$5)</x:f>
        <x:v>1</x:v>
      </x:c>
      <x:c r="G824" t="n">
        <x:f>--AND(A824+'Calculator'!$B$6&gt;=15,B824+'Calculator'!$B$6&gt;=15,C824+'Calculator'!$B$6&gt;=15)</x:f>
        <x:v>0</x:v>
      </x:c>
      <x:c r="H824" t="n">
        <x:f>--AND(F824=1,D824='Calculator'!$B$4)</x:f>
        <x:v>0</x:v>
      </x:c>
      <x:c r="I824" t="n">
        <x:f>--AND(H824=1,G824=1)</x:f>
        <x:v>0</x:v>
      </x:c>
      <x:c r="J824" t="n">
        <x:f>--AND(F824=1,E824='Calculator'!$B$4)</x:f>
        <x:v>0</x:v>
      </x:c>
      <x:c r="K824" t="n">
        <x:f>--AND(J824=1,G824=1)</x:f>
        <x:v>0</x:v>
      </x:c>
      <x:c r="L824" t="str">
        <x:f>A824&amp;"/"&amp;B824&amp;"/"&amp;C824</x:f>
        <x:v>14/8/8</x:v>
      </x:c>
      <x:c r="M824" t="str">
        <x:f>MIN(15,A824+'Calculator'!$B$6)&amp;"/"&amp;MIN(15,B824+'Calculator'!$B$6)&amp;"/"&amp;MIN(15,C824+'Calculator'!$B$6)</x:f>
        <x:v>15/10/10</x:v>
      </x:c>
    </x:row>
    <x:row r="825">
      <x:c r="A825" t="n">
        <x:v>14</x:v>
      </x:c>
      <x:c r="B825" t="n">
        <x:v>8</x:v>
      </x:c>
      <x:c r="C825" t="n">
        <x:v>9</x:v>
      </x:c>
      <x:c r="D825" t="n">
        <x:f>MAX(10,ROUNDDOWN((('Calculator'!$B$10+A825)*SQRT('Calculator'!$B$11+B825)*SQRT('Calculator'!$B$12+C825)*0.59740001^2)/10,0))</x:f>
        <x:v>2306</x:v>
      </x:c>
      <x:c r="E825" t="n">
        <x:f>MAX(10,ROUNDDOWN((('Calculator'!$B$10+A825)*SQRT('Calculator'!$B$11+B825)*SQRT('Calculator'!$B$12+C825)*0.667934^2)/10,0))</x:f>
        <x:v>2883</x:v>
      </x:c>
      <x:c r="F825" t="n">
        <x:f>--AND(A825&gt;='Calculator'!$B$5,B825&gt;='Calculator'!$B$5,C825&gt;='Calculator'!$B$5)</x:f>
        <x:v>1</x:v>
      </x:c>
      <x:c r="G825" t="n">
        <x:f>--AND(A825+'Calculator'!$B$6&gt;=15,B825+'Calculator'!$B$6&gt;=15,C825+'Calculator'!$B$6&gt;=15)</x:f>
        <x:v>0</x:v>
      </x:c>
      <x:c r="H825" t="n">
        <x:f>--AND(F825=1,D825='Calculator'!$B$4)</x:f>
        <x:v>0</x:v>
      </x:c>
      <x:c r="I825" t="n">
        <x:f>--AND(H825=1,G825=1)</x:f>
        <x:v>0</x:v>
      </x:c>
      <x:c r="J825" t="n">
        <x:f>--AND(F825=1,E825='Calculator'!$B$4)</x:f>
        <x:v>0</x:v>
      </x:c>
      <x:c r="K825" t="n">
        <x:f>--AND(J825=1,G825=1)</x:f>
        <x:v>0</x:v>
      </x:c>
      <x:c r="L825" t="str">
        <x:f>A825&amp;"/"&amp;B825&amp;"/"&amp;C825</x:f>
        <x:v>14/8/9</x:v>
      </x:c>
      <x:c r="M825" t="str">
        <x:f>MIN(15,A825+'Calculator'!$B$6)&amp;"/"&amp;MIN(15,B825+'Calculator'!$B$6)&amp;"/"&amp;MIN(15,C825+'Calculator'!$B$6)</x:f>
        <x:v>15/10/11</x:v>
      </x:c>
    </x:row>
    <x:row r="826">
      <x:c r="A826" t="n">
        <x:v>14</x:v>
      </x:c>
      <x:c r="B826" t="n">
        <x:v>8</x:v>
      </x:c>
      <x:c r="C826" t="n">
        <x:v>10</x:v>
      </x:c>
      <x:c r="D826" t="n">
        <x:f>MAX(10,ROUNDDOWN((('Calculator'!$B$10+A826)*SQRT('Calculator'!$B$11+B826)*SQRT('Calculator'!$B$12+C826)*0.59740001^2)/10,0))</x:f>
        <x:v>2311</x:v>
      </x:c>
      <x:c r="E826" t="n">
        <x:f>MAX(10,ROUNDDOWN((('Calculator'!$B$10+A826)*SQRT('Calculator'!$B$11+B826)*SQRT('Calculator'!$B$12+C826)*0.667934^2)/10,0))</x:f>
        <x:v>2889</x:v>
      </x:c>
      <x:c r="F826" t="n">
        <x:f>--AND(A826&gt;='Calculator'!$B$5,B826&gt;='Calculator'!$B$5,C826&gt;='Calculator'!$B$5)</x:f>
        <x:v>1</x:v>
      </x:c>
      <x:c r="G826" t="n">
        <x:f>--AND(A826+'Calculator'!$B$6&gt;=15,B826+'Calculator'!$B$6&gt;=15,C826+'Calculator'!$B$6&gt;=15)</x:f>
        <x:v>0</x:v>
      </x:c>
      <x:c r="H826" t="n">
        <x:f>--AND(F826=1,D826='Calculator'!$B$4)</x:f>
        <x:v>0</x:v>
      </x:c>
      <x:c r="I826" t="n">
        <x:f>--AND(H826=1,G826=1)</x:f>
        <x:v>0</x:v>
      </x:c>
      <x:c r="J826" t="n">
        <x:f>--AND(F826=1,E826='Calculator'!$B$4)</x:f>
        <x:v>0</x:v>
      </x:c>
      <x:c r="K826" t="n">
        <x:f>--AND(J826=1,G826=1)</x:f>
        <x:v>0</x:v>
      </x:c>
      <x:c r="L826" t="str">
        <x:f>A826&amp;"/"&amp;B826&amp;"/"&amp;C826</x:f>
        <x:v>14/8/10</x:v>
      </x:c>
      <x:c r="M826" t="str">
        <x:f>MIN(15,A826+'Calculator'!$B$6)&amp;"/"&amp;MIN(15,B826+'Calculator'!$B$6)&amp;"/"&amp;MIN(15,C826+'Calculator'!$B$6)</x:f>
        <x:v>15/10/12</x:v>
      </x:c>
    </x:row>
    <x:row r="827">
      <x:c r="A827" t="n">
        <x:v>14</x:v>
      </x:c>
      <x:c r="B827" t="n">
        <x:v>8</x:v>
      </x:c>
      <x:c r="C827" t="n">
        <x:v>11</x:v>
      </x:c>
      <x:c r="D827" t="n">
        <x:f>MAX(10,ROUNDDOWN((('Calculator'!$B$10+A827)*SQRT('Calculator'!$B$11+B827)*SQRT('Calculator'!$B$12+C827)*0.59740001^2)/10,0))</x:f>
        <x:v>2317</x:v>
      </x:c>
      <x:c r="E827" t="n">
        <x:f>MAX(10,ROUNDDOWN((('Calculator'!$B$10+A827)*SQRT('Calculator'!$B$11+B827)*SQRT('Calculator'!$B$12+C827)*0.667934^2)/10,0))</x:f>
        <x:v>2896</x:v>
      </x:c>
      <x:c r="F827" t="n">
        <x:f>--AND(A827&gt;='Calculator'!$B$5,B827&gt;='Calculator'!$B$5,C827&gt;='Calculator'!$B$5)</x:f>
        <x:v>1</x:v>
      </x:c>
      <x:c r="G827" t="n">
        <x:f>--AND(A827+'Calculator'!$B$6&gt;=15,B827+'Calculator'!$B$6&gt;=15,C827+'Calculator'!$B$6&gt;=15)</x:f>
        <x:v>0</x:v>
      </x:c>
      <x:c r="H827" t="n">
        <x:f>--AND(F827=1,D827='Calculator'!$B$4)</x:f>
        <x:v>0</x:v>
      </x:c>
      <x:c r="I827" t="n">
        <x:f>--AND(H827=1,G827=1)</x:f>
        <x:v>0</x:v>
      </x:c>
      <x:c r="J827" t="n">
        <x:f>--AND(F827=1,E827='Calculator'!$B$4)</x:f>
        <x:v>0</x:v>
      </x:c>
      <x:c r="K827" t="n">
        <x:f>--AND(J827=1,G827=1)</x:f>
        <x:v>0</x:v>
      </x:c>
      <x:c r="L827" t="str">
        <x:f>A827&amp;"/"&amp;B827&amp;"/"&amp;C827</x:f>
        <x:v>14/8/11</x:v>
      </x:c>
      <x:c r="M827" t="str">
        <x:f>MIN(15,A827+'Calculator'!$B$6)&amp;"/"&amp;MIN(15,B827+'Calculator'!$B$6)&amp;"/"&amp;MIN(15,C827+'Calculator'!$B$6)</x:f>
        <x:v>15/10/13</x:v>
      </x:c>
    </x:row>
    <x:row r="828">
      <x:c r="A828" t="n">
        <x:v>14</x:v>
      </x:c>
      <x:c r="B828" t="n">
        <x:v>8</x:v>
      </x:c>
      <x:c r="C828" t="n">
        <x:v>12</x:v>
      </x:c>
      <x:c r="D828" t="n">
        <x:f>MAX(10,ROUNDDOWN((('Calculator'!$B$10+A828)*SQRT('Calculator'!$B$11+B828)*SQRT('Calculator'!$B$12+C828)*0.59740001^2)/10,0))</x:f>
        <x:v>2322</x:v>
      </x:c>
      <x:c r="E828" t="n">
        <x:f>MAX(10,ROUNDDOWN((('Calculator'!$B$10+A828)*SQRT('Calculator'!$B$11+B828)*SQRT('Calculator'!$B$12+C828)*0.667934^2)/10,0))</x:f>
        <x:v>2902</x:v>
      </x:c>
      <x:c r="F828" t="n">
        <x:f>--AND(A828&gt;='Calculator'!$B$5,B828&gt;='Calculator'!$B$5,C828&gt;='Calculator'!$B$5)</x:f>
        <x:v>1</x:v>
      </x:c>
      <x:c r="G828" t="n">
        <x:f>--AND(A828+'Calculator'!$B$6&gt;=15,B828+'Calculator'!$B$6&gt;=15,C828+'Calculator'!$B$6&gt;=15)</x:f>
        <x:v>0</x:v>
      </x:c>
      <x:c r="H828" t="n">
        <x:f>--AND(F828=1,D828='Calculator'!$B$4)</x:f>
        <x:v>0</x:v>
      </x:c>
      <x:c r="I828" t="n">
        <x:f>--AND(H828=1,G828=1)</x:f>
        <x:v>0</x:v>
      </x:c>
      <x:c r="J828" t="n">
        <x:f>--AND(F828=1,E828='Calculator'!$B$4)</x:f>
        <x:v>0</x:v>
      </x:c>
      <x:c r="K828" t="n">
        <x:f>--AND(J828=1,G828=1)</x:f>
        <x:v>0</x:v>
      </x:c>
      <x:c r="L828" t="str">
        <x:f>A828&amp;"/"&amp;B828&amp;"/"&amp;C828</x:f>
        <x:v>14/8/12</x:v>
      </x:c>
      <x:c r="M828" t="str">
        <x:f>MIN(15,A828+'Calculator'!$B$6)&amp;"/"&amp;MIN(15,B828+'Calculator'!$B$6)&amp;"/"&amp;MIN(15,C828+'Calculator'!$B$6)</x:f>
        <x:v>15/10/14</x:v>
      </x:c>
    </x:row>
    <x:row r="829">
      <x:c r="A829" t="n">
        <x:v>14</x:v>
      </x:c>
      <x:c r="B829" t="n">
        <x:v>8</x:v>
      </x:c>
      <x:c r="C829" t="n">
        <x:v>13</x:v>
      </x:c>
      <x:c r="D829" t="n">
        <x:f>MAX(10,ROUNDDOWN((('Calculator'!$B$10+A829)*SQRT('Calculator'!$B$11+B829)*SQRT('Calculator'!$B$12+C829)*0.59740001^2)/10,0))</x:f>
        <x:v>2327</x:v>
      </x:c>
      <x:c r="E829" t="n">
        <x:f>MAX(10,ROUNDDOWN((('Calculator'!$B$10+A829)*SQRT('Calculator'!$B$11+B829)*SQRT('Calculator'!$B$12+C829)*0.667934^2)/10,0))</x:f>
        <x:v>2909</x:v>
      </x:c>
      <x:c r="F829" t="n">
        <x:f>--AND(A829&gt;='Calculator'!$B$5,B829&gt;='Calculator'!$B$5,C829&gt;='Calculator'!$B$5)</x:f>
        <x:v>1</x:v>
      </x:c>
      <x:c r="G829" t="n">
        <x:f>--AND(A829+'Calculator'!$B$6&gt;=15,B829+'Calculator'!$B$6&gt;=15,C829+'Calculator'!$B$6&gt;=15)</x:f>
        <x:v>0</x:v>
      </x:c>
      <x:c r="H829" t="n">
        <x:f>--AND(F829=1,D829='Calculator'!$B$4)</x:f>
        <x:v>0</x:v>
      </x:c>
      <x:c r="I829" t="n">
        <x:f>--AND(H829=1,G829=1)</x:f>
        <x:v>0</x:v>
      </x:c>
      <x:c r="J829" t="n">
        <x:f>--AND(F829=1,E829='Calculator'!$B$4)</x:f>
        <x:v>0</x:v>
      </x:c>
      <x:c r="K829" t="n">
        <x:f>--AND(J829=1,G829=1)</x:f>
        <x:v>0</x:v>
      </x:c>
      <x:c r="L829" t="str">
        <x:f>A829&amp;"/"&amp;B829&amp;"/"&amp;C829</x:f>
        <x:v>14/8/13</x:v>
      </x:c>
      <x:c r="M829" t="str">
        <x:f>MIN(15,A829+'Calculator'!$B$6)&amp;"/"&amp;MIN(15,B829+'Calculator'!$B$6)&amp;"/"&amp;MIN(15,C829+'Calculator'!$B$6)</x:f>
        <x:v>15/10/15</x:v>
      </x:c>
    </x:row>
    <x:row r="830">
      <x:c r="A830" t="n">
        <x:v>14</x:v>
      </x:c>
      <x:c r="B830" t="n">
        <x:v>8</x:v>
      </x:c>
      <x:c r="C830" t="n">
        <x:v>14</x:v>
      </x:c>
      <x:c r="D830" t="n">
        <x:f>MAX(10,ROUNDDOWN((('Calculator'!$B$10+A830)*SQRT('Calculator'!$B$11+B830)*SQRT('Calculator'!$B$12+C830)*0.59740001^2)/10,0))</x:f>
        <x:v>2332</x:v>
      </x:c>
      <x:c r="E830" t="n">
        <x:f>MAX(10,ROUNDDOWN((('Calculator'!$B$10+A830)*SQRT('Calculator'!$B$11+B830)*SQRT('Calculator'!$B$12+C830)*0.667934^2)/10,0))</x:f>
        <x:v>2915</x:v>
      </x:c>
      <x:c r="F830" t="n">
        <x:f>--AND(A830&gt;='Calculator'!$B$5,B830&gt;='Calculator'!$B$5,C830&gt;='Calculator'!$B$5)</x:f>
        <x:v>1</x:v>
      </x:c>
      <x:c r="G830" t="n">
        <x:f>--AND(A830+'Calculator'!$B$6&gt;=15,B830+'Calculator'!$B$6&gt;=15,C830+'Calculator'!$B$6&gt;=15)</x:f>
        <x:v>0</x:v>
      </x:c>
      <x:c r="H830" t="n">
        <x:f>--AND(F830=1,D830='Calculator'!$B$4)</x:f>
        <x:v>0</x:v>
      </x:c>
      <x:c r="I830" t="n">
        <x:f>--AND(H830=1,G830=1)</x:f>
        <x:v>0</x:v>
      </x:c>
      <x:c r="J830" t="n">
        <x:f>--AND(F830=1,E830='Calculator'!$B$4)</x:f>
        <x:v>0</x:v>
      </x:c>
      <x:c r="K830" t="n">
        <x:f>--AND(J830=1,G830=1)</x:f>
        <x:v>0</x:v>
      </x:c>
      <x:c r="L830" t="str">
        <x:f>A830&amp;"/"&amp;B830&amp;"/"&amp;C830</x:f>
        <x:v>14/8/14</x:v>
      </x:c>
      <x:c r="M830" t="str">
        <x:f>MIN(15,A830+'Calculator'!$B$6)&amp;"/"&amp;MIN(15,B830+'Calculator'!$B$6)&amp;"/"&amp;MIN(15,C830+'Calculator'!$B$6)</x:f>
        <x:v>15/10/15</x:v>
      </x:c>
    </x:row>
    <x:row r="831">
      <x:c r="A831" t="n">
        <x:v>14</x:v>
      </x:c>
      <x:c r="B831" t="n">
        <x:v>8</x:v>
      </x:c>
      <x:c r="C831" t="n">
        <x:v>15</x:v>
      </x:c>
      <x:c r="D831" t="n">
        <x:f>MAX(10,ROUNDDOWN((('Calculator'!$B$10+A831)*SQRT('Calculator'!$B$11+B831)*SQRT('Calculator'!$B$12+C831)*0.59740001^2)/10,0))</x:f>
        <x:v>2337</x:v>
      </x:c>
      <x:c r="E831" t="n">
        <x:f>MAX(10,ROUNDDOWN((('Calculator'!$B$10+A831)*SQRT('Calculator'!$B$11+B831)*SQRT('Calculator'!$B$12+C831)*0.667934^2)/10,0))</x:f>
        <x:v>2922</x:v>
      </x:c>
      <x:c r="F831" t="n">
        <x:f>--AND(A831&gt;='Calculator'!$B$5,B831&gt;='Calculator'!$B$5,C831&gt;='Calculator'!$B$5)</x:f>
        <x:v>1</x:v>
      </x:c>
      <x:c r="G831" t="n">
        <x:f>--AND(A831+'Calculator'!$B$6&gt;=15,B831+'Calculator'!$B$6&gt;=15,C831+'Calculator'!$B$6&gt;=15)</x:f>
        <x:v>0</x:v>
      </x:c>
      <x:c r="H831" t="n">
        <x:f>--AND(F831=1,D831='Calculator'!$B$4)</x:f>
        <x:v>0</x:v>
      </x:c>
      <x:c r="I831" t="n">
        <x:f>--AND(H831=1,G831=1)</x:f>
        <x:v>0</x:v>
      </x:c>
      <x:c r="J831" t="n">
        <x:f>--AND(F831=1,E831='Calculator'!$B$4)</x:f>
        <x:v>0</x:v>
      </x:c>
      <x:c r="K831" t="n">
        <x:f>--AND(J831=1,G831=1)</x:f>
        <x:v>0</x:v>
      </x:c>
      <x:c r="L831" t="str">
        <x:f>A831&amp;"/"&amp;B831&amp;"/"&amp;C831</x:f>
        <x:v>14/8/15</x:v>
      </x:c>
      <x:c r="M831" t="str">
        <x:f>MIN(15,A831+'Calculator'!$B$6)&amp;"/"&amp;MIN(15,B831+'Calculator'!$B$6)&amp;"/"&amp;MIN(15,C831+'Calculator'!$B$6)</x:f>
        <x:v>15/10/15</x:v>
      </x:c>
    </x:row>
    <x:row r="832">
      <x:c r="A832" t="n">
        <x:v>14</x:v>
      </x:c>
      <x:c r="B832" t="n">
        <x:v>9</x:v>
      </x:c>
      <x:c r="C832" t="n">
        <x:v>6</x:v>
      </x:c>
      <x:c r="D832" t="n">
        <x:f>MAX(10,ROUNDDOWN((('Calculator'!$B$10+A832)*SQRT('Calculator'!$B$11+B832)*SQRT('Calculator'!$B$12+C832)*0.59740001^2)/10,0))</x:f>
        <x:v>2297</x:v>
      </x:c>
      <x:c r="E832" t="n">
        <x:f>MAX(10,ROUNDDOWN((('Calculator'!$B$10+A832)*SQRT('Calculator'!$B$11+B832)*SQRT('Calculator'!$B$12+C832)*0.667934^2)/10,0))</x:f>
        <x:v>2871</x:v>
      </x:c>
      <x:c r="F832" t="n">
        <x:f>--AND(A832&gt;='Calculator'!$B$5,B832&gt;='Calculator'!$B$5,C832&gt;='Calculator'!$B$5)</x:f>
        <x:v>1</x:v>
      </x:c>
      <x:c r="G832" t="n">
        <x:f>--AND(A832+'Calculator'!$B$6&gt;=15,B832+'Calculator'!$B$6&gt;=15,C832+'Calculator'!$B$6&gt;=15)</x:f>
        <x:v>0</x:v>
      </x:c>
      <x:c r="H832" t="n">
        <x:f>--AND(F832=1,D832='Calculator'!$B$4)</x:f>
        <x:v>0</x:v>
      </x:c>
      <x:c r="I832" t="n">
        <x:f>--AND(H832=1,G832=1)</x:f>
        <x:v>0</x:v>
      </x:c>
      <x:c r="J832" t="n">
        <x:f>--AND(F832=1,E832='Calculator'!$B$4)</x:f>
        <x:v>0</x:v>
      </x:c>
      <x:c r="K832" t="n">
        <x:f>--AND(J832=1,G832=1)</x:f>
        <x:v>0</x:v>
      </x:c>
      <x:c r="L832" t="str">
        <x:f>A832&amp;"/"&amp;B832&amp;"/"&amp;C832</x:f>
        <x:v>14/9/6</x:v>
      </x:c>
      <x:c r="M832" t="str">
        <x:f>MIN(15,A832+'Calculator'!$B$6)&amp;"/"&amp;MIN(15,B832+'Calculator'!$B$6)&amp;"/"&amp;MIN(15,C832+'Calculator'!$B$6)</x:f>
        <x:v>15/11/8</x:v>
      </x:c>
    </x:row>
    <x:row r="833">
      <x:c r="A833" t="n">
        <x:v>14</x:v>
      </x:c>
      <x:c r="B833" t="n">
        <x:v>9</x:v>
      </x:c>
      <x:c r="C833" t="n">
        <x:v>7</x:v>
      </x:c>
      <x:c r="D833" t="n">
        <x:f>MAX(10,ROUNDDOWN((('Calculator'!$B$10+A833)*SQRT('Calculator'!$B$11+B833)*SQRT('Calculator'!$B$12+C833)*0.59740001^2)/10,0))</x:f>
        <x:v>2302</x:v>
      </x:c>
      <x:c r="E833" t="n">
        <x:f>MAX(10,ROUNDDOWN((('Calculator'!$B$10+A833)*SQRT('Calculator'!$B$11+B833)*SQRT('Calculator'!$B$12+C833)*0.667934^2)/10,0))</x:f>
        <x:v>2878</x:v>
      </x:c>
      <x:c r="F833" t="n">
        <x:f>--AND(A833&gt;='Calculator'!$B$5,B833&gt;='Calculator'!$B$5,C833&gt;='Calculator'!$B$5)</x:f>
        <x:v>1</x:v>
      </x:c>
      <x:c r="G833" t="n">
        <x:f>--AND(A833+'Calculator'!$B$6&gt;=15,B833+'Calculator'!$B$6&gt;=15,C833+'Calculator'!$B$6&gt;=15)</x:f>
        <x:v>0</x:v>
      </x:c>
      <x:c r="H833" t="n">
        <x:f>--AND(F833=1,D833='Calculator'!$B$4)</x:f>
        <x:v>0</x:v>
      </x:c>
      <x:c r="I833" t="n">
        <x:f>--AND(H833=1,G833=1)</x:f>
        <x:v>0</x:v>
      </x:c>
      <x:c r="J833" t="n">
        <x:f>--AND(F833=1,E833='Calculator'!$B$4)</x:f>
        <x:v>0</x:v>
      </x:c>
      <x:c r="K833" t="n">
        <x:f>--AND(J833=1,G833=1)</x:f>
        <x:v>0</x:v>
      </x:c>
      <x:c r="L833" t="str">
        <x:f>A833&amp;"/"&amp;B833&amp;"/"&amp;C833</x:f>
        <x:v>14/9/7</x:v>
      </x:c>
      <x:c r="M833" t="str">
        <x:f>MIN(15,A833+'Calculator'!$B$6)&amp;"/"&amp;MIN(15,B833+'Calculator'!$B$6)&amp;"/"&amp;MIN(15,C833+'Calculator'!$B$6)</x:f>
        <x:v>15/11/9</x:v>
      </x:c>
    </x:row>
    <x:row r="834">
      <x:c r="A834" t="n">
        <x:v>14</x:v>
      </x:c>
      <x:c r="B834" t="n">
        <x:v>9</x:v>
      </x:c>
      <x:c r="C834" t="n">
        <x:v>8</x:v>
      </x:c>
      <x:c r="D834" t="n">
        <x:f>MAX(10,ROUNDDOWN((('Calculator'!$B$10+A834)*SQRT('Calculator'!$B$11+B834)*SQRT('Calculator'!$B$12+C834)*0.59740001^2)/10,0))</x:f>
        <x:v>2307</x:v>
      </x:c>
      <x:c r="E834" t="n">
        <x:f>MAX(10,ROUNDDOWN((('Calculator'!$B$10+A834)*SQRT('Calculator'!$B$11+B834)*SQRT('Calculator'!$B$12+C834)*0.667934^2)/10,0))</x:f>
        <x:v>2884</x:v>
      </x:c>
      <x:c r="F834" t="n">
        <x:f>--AND(A834&gt;='Calculator'!$B$5,B834&gt;='Calculator'!$B$5,C834&gt;='Calculator'!$B$5)</x:f>
        <x:v>1</x:v>
      </x:c>
      <x:c r="G834" t="n">
        <x:f>--AND(A834+'Calculator'!$B$6&gt;=15,B834+'Calculator'!$B$6&gt;=15,C834+'Calculator'!$B$6&gt;=15)</x:f>
        <x:v>0</x:v>
      </x:c>
      <x:c r="H834" t="n">
        <x:f>--AND(F834=1,D834='Calculator'!$B$4)</x:f>
        <x:v>0</x:v>
      </x:c>
      <x:c r="I834" t="n">
        <x:f>--AND(H834=1,G834=1)</x:f>
        <x:v>0</x:v>
      </x:c>
      <x:c r="J834" t="n">
        <x:f>--AND(F834=1,E834='Calculator'!$B$4)</x:f>
        <x:v>0</x:v>
      </x:c>
      <x:c r="K834" t="n">
        <x:f>--AND(J834=1,G834=1)</x:f>
        <x:v>0</x:v>
      </x:c>
      <x:c r="L834" t="str">
        <x:f>A834&amp;"/"&amp;B834&amp;"/"&amp;C834</x:f>
        <x:v>14/9/8</x:v>
      </x:c>
      <x:c r="M834" t="str">
        <x:f>MIN(15,A834+'Calculator'!$B$6)&amp;"/"&amp;MIN(15,B834+'Calculator'!$B$6)&amp;"/"&amp;MIN(15,C834+'Calculator'!$B$6)</x:f>
        <x:v>15/11/10</x:v>
      </x:c>
    </x:row>
    <x:row r="835">
      <x:c r="A835" t="n">
        <x:v>14</x:v>
      </x:c>
      <x:c r="B835" t="n">
        <x:v>9</x:v>
      </x:c>
      <x:c r="C835" t="n">
        <x:v>9</x:v>
      </x:c>
      <x:c r="D835" t="n">
        <x:f>MAX(10,ROUNDDOWN((('Calculator'!$B$10+A835)*SQRT('Calculator'!$B$11+B835)*SQRT('Calculator'!$B$12+C835)*0.59740001^2)/10,0))</x:f>
        <x:v>2312</x:v>
      </x:c>
      <x:c r="E835" t="n">
        <x:f>MAX(10,ROUNDDOWN((('Calculator'!$B$10+A835)*SQRT('Calculator'!$B$11+B835)*SQRT('Calculator'!$B$12+C835)*0.667934^2)/10,0))</x:f>
        <x:v>2891</x:v>
      </x:c>
      <x:c r="F835" t="n">
        <x:f>--AND(A835&gt;='Calculator'!$B$5,B835&gt;='Calculator'!$B$5,C835&gt;='Calculator'!$B$5)</x:f>
        <x:v>1</x:v>
      </x:c>
      <x:c r="G835" t="n">
        <x:f>--AND(A835+'Calculator'!$B$6&gt;=15,B835+'Calculator'!$B$6&gt;=15,C835+'Calculator'!$B$6&gt;=15)</x:f>
        <x:v>0</x:v>
      </x:c>
      <x:c r="H835" t="n">
        <x:f>--AND(F835=1,D835='Calculator'!$B$4)</x:f>
        <x:v>0</x:v>
      </x:c>
      <x:c r="I835" t="n">
        <x:f>--AND(H835=1,G835=1)</x:f>
        <x:v>0</x:v>
      </x:c>
      <x:c r="J835" t="n">
        <x:f>--AND(F835=1,E835='Calculator'!$B$4)</x:f>
        <x:v>0</x:v>
      </x:c>
      <x:c r="K835" t="n">
        <x:f>--AND(J835=1,G835=1)</x:f>
        <x:v>0</x:v>
      </x:c>
      <x:c r="L835" t="str">
        <x:f>A835&amp;"/"&amp;B835&amp;"/"&amp;C835</x:f>
        <x:v>14/9/9</x:v>
      </x:c>
      <x:c r="M835" t="str">
        <x:f>MIN(15,A835+'Calculator'!$B$6)&amp;"/"&amp;MIN(15,B835+'Calculator'!$B$6)&amp;"/"&amp;MIN(15,C835+'Calculator'!$B$6)</x:f>
        <x:v>15/11/11</x:v>
      </x:c>
    </x:row>
    <x:row r="836">
      <x:c r="A836" t="n">
        <x:v>14</x:v>
      </x:c>
      <x:c r="B836" t="n">
        <x:v>9</x:v>
      </x:c>
      <x:c r="C836" t="n">
        <x:v>10</x:v>
      </x:c>
      <x:c r="D836" t="n">
        <x:f>MAX(10,ROUNDDOWN((('Calculator'!$B$10+A836)*SQRT('Calculator'!$B$11+B836)*SQRT('Calculator'!$B$12+C836)*0.59740001^2)/10,0))</x:f>
        <x:v>2317</x:v>
      </x:c>
      <x:c r="E836" t="n">
        <x:f>MAX(10,ROUNDDOWN((('Calculator'!$B$10+A836)*SQRT('Calculator'!$B$11+B836)*SQRT('Calculator'!$B$12+C836)*0.667934^2)/10,0))</x:f>
        <x:v>2897</x:v>
      </x:c>
      <x:c r="F836" t="n">
        <x:f>--AND(A836&gt;='Calculator'!$B$5,B836&gt;='Calculator'!$B$5,C836&gt;='Calculator'!$B$5)</x:f>
        <x:v>1</x:v>
      </x:c>
      <x:c r="G836" t="n">
        <x:f>--AND(A836+'Calculator'!$B$6&gt;=15,B836+'Calculator'!$B$6&gt;=15,C836+'Calculator'!$B$6&gt;=15)</x:f>
        <x:v>0</x:v>
      </x:c>
      <x:c r="H836" t="n">
        <x:f>--AND(F836=1,D836='Calculator'!$B$4)</x:f>
        <x:v>0</x:v>
      </x:c>
      <x:c r="I836" t="n">
        <x:f>--AND(H836=1,G836=1)</x:f>
        <x:v>0</x:v>
      </x:c>
      <x:c r="J836" t="n">
        <x:f>--AND(F836=1,E836='Calculator'!$B$4)</x:f>
        <x:v>0</x:v>
      </x:c>
      <x:c r="K836" t="n">
        <x:f>--AND(J836=1,G836=1)</x:f>
        <x:v>0</x:v>
      </x:c>
      <x:c r="L836" t="str">
        <x:f>A836&amp;"/"&amp;B836&amp;"/"&amp;C836</x:f>
        <x:v>14/9/10</x:v>
      </x:c>
      <x:c r="M836" t="str">
        <x:f>MIN(15,A836+'Calculator'!$B$6)&amp;"/"&amp;MIN(15,B836+'Calculator'!$B$6)&amp;"/"&amp;MIN(15,C836+'Calculator'!$B$6)</x:f>
        <x:v>15/11/12</x:v>
      </x:c>
    </x:row>
    <x:row r="837">
      <x:c r="A837" t="n">
        <x:v>14</x:v>
      </x:c>
      <x:c r="B837" t="n">
        <x:v>9</x:v>
      </x:c>
      <x:c r="C837" t="n">
        <x:v>11</x:v>
      </x:c>
      <x:c r="D837" t="n">
        <x:f>MAX(10,ROUNDDOWN((('Calculator'!$B$10+A837)*SQRT('Calculator'!$B$11+B837)*SQRT('Calculator'!$B$12+C837)*0.59740001^2)/10,0))</x:f>
        <x:v>2323</x:v>
      </x:c>
      <x:c r="E837" t="n">
        <x:f>MAX(10,ROUNDDOWN((('Calculator'!$B$10+A837)*SQRT('Calculator'!$B$11+B837)*SQRT('Calculator'!$B$12+C837)*0.667934^2)/10,0))</x:f>
        <x:v>2904</x:v>
      </x:c>
      <x:c r="F837" t="n">
        <x:f>--AND(A837&gt;='Calculator'!$B$5,B837&gt;='Calculator'!$B$5,C837&gt;='Calculator'!$B$5)</x:f>
        <x:v>1</x:v>
      </x:c>
      <x:c r="G837" t="n">
        <x:f>--AND(A837+'Calculator'!$B$6&gt;=15,B837+'Calculator'!$B$6&gt;=15,C837+'Calculator'!$B$6&gt;=15)</x:f>
        <x:v>0</x:v>
      </x:c>
      <x:c r="H837" t="n">
        <x:f>--AND(F837=1,D837='Calculator'!$B$4)</x:f>
        <x:v>0</x:v>
      </x:c>
      <x:c r="I837" t="n">
        <x:f>--AND(H837=1,G837=1)</x:f>
        <x:v>0</x:v>
      </x:c>
      <x:c r="J837" t="n">
        <x:f>--AND(F837=1,E837='Calculator'!$B$4)</x:f>
        <x:v>0</x:v>
      </x:c>
      <x:c r="K837" t="n">
        <x:f>--AND(J837=1,G837=1)</x:f>
        <x:v>0</x:v>
      </x:c>
      <x:c r="L837" t="str">
        <x:f>A837&amp;"/"&amp;B837&amp;"/"&amp;C837</x:f>
        <x:v>14/9/11</x:v>
      </x:c>
      <x:c r="M837" t="str">
        <x:f>MIN(15,A837+'Calculator'!$B$6)&amp;"/"&amp;MIN(15,B837+'Calculator'!$B$6)&amp;"/"&amp;MIN(15,C837+'Calculator'!$B$6)</x:f>
        <x:v>15/11/13</x:v>
      </x:c>
    </x:row>
    <x:row r="838">
      <x:c r="A838" t="n">
        <x:v>14</x:v>
      </x:c>
      <x:c r="B838" t="n">
        <x:v>9</x:v>
      </x:c>
      <x:c r="C838" t="n">
        <x:v>12</x:v>
      </x:c>
      <x:c r="D838" t="n">
        <x:f>MAX(10,ROUNDDOWN((('Calculator'!$B$10+A838)*SQRT('Calculator'!$B$11+B838)*SQRT('Calculator'!$B$12+C838)*0.59740001^2)/10,0))</x:f>
        <x:v>2328</x:v>
      </x:c>
      <x:c r="E838" t="n">
        <x:f>MAX(10,ROUNDDOWN((('Calculator'!$B$10+A838)*SQRT('Calculator'!$B$11+B838)*SQRT('Calculator'!$B$12+C838)*0.667934^2)/10,0))</x:f>
        <x:v>2910</x:v>
      </x:c>
      <x:c r="F838" t="n">
        <x:f>--AND(A838&gt;='Calculator'!$B$5,B838&gt;='Calculator'!$B$5,C838&gt;='Calculator'!$B$5)</x:f>
        <x:v>1</x:v>
      </x:c>
      <x:c r="G838" t="n">
        <x:f>--AND(A838+'Calculator'!$B$6&gt;=15,B838+'Calculator'!$B$6&gt;=15,C838+'Calculator'!$B$6&gt;=15)</x:f>
        <x:v>0</x:v>
      </x:c>
      <x:c r="H838" t="n">
        <x:f>--AND(F838=1,D838='Calculator'!$B$4)</x:f>
        <x:v>0</x:v>
      </x:c>
      <x:c r="I838" t="n">
        <x:f>--AND(H838=1,G838=1)</x:f>
        <x:v>0</x:v>
      </x:c>
      <x:c r="J838" t="n">
        <x:f>--AND(F838=1,E838='Calculator'!$B$4)</x:f>
        <x:v>0</x:v>
      </x:c>
      <x:c r="K838" t="n">
        <x:f>--AND(J838=1,G838=1)</x:f>
        <x:v>0</x:v>
      </x:c>
      <x:c r="L838" t="str">
        <x:f>A838&amp;"/"&amp;B838&amp;"/"&amp;C838</x:f>
        <x:v>14/9/12</x:v>
      </x:c>
      <x:c r="M838" t="str">
        <x:f>MIN(15,A838+'Calculator'!$B$6)&amp;"/"&amp;MIN(15,B838+'Calculator'!$B$6)&amp;"/"&amp;MIN(15,C838+'Calculator'!$B$6)</x:f>
        <x:v>15/11/14</x:v>
      </x:c>
    </x:row>
    <x:row r="839">
      <x:c r="A839" t="n">
        <x:v>14</x:v>
      </x:c>
      <x:c r="B839" t="n">
        <x:v>9</x:v>
      </x:c>
      <x:c r="C839" t="n">
        <x:v>13</x:v>
      </x:c>
      <x:c r="D839" t="n">
        <x:f>MAX(10,ROUNDDOWN((('Calculator'!$B$10+A839)*SQRT('Calculator'!$B$11+B839)*SQRT('Calculator'!$B$12+C839)*0.59740001^2)/10,0))</x:f>
        <x:v>2333</x:v>
      </x:c>
      <x:c r="E839" t="n">
        <x:f>MAX(10,ROUNDDOWN((('Calculator'!$B$10+A839)*SQRT('Calculator'!$B$11+B839)*SQRT('Calculator'!$B$12+C839)*0.667934^2)/10,0))</x:f>
        <x:v>2916</x:v>
      </x:c>
      <x:c r="F839" t="n">
        <x:f>--AND(A839&gt;='Calculator'!$B$5,B839&gt;='Calculator'!$B$5,C839&gt;='Calculator'!$B$5)</x:f>
        <x:v>1</x:v>
      </x:c>
      <x:c r="G839" t="n">
        <x:f>--AND(A839+'Calculator'!$B$6&gt;=15,B839+'Calculator'!$B$6&gt;=15,C839+'Calculator'!$B$6&gt;=15)</x:f>
        <x:v>0</x:v>
      </x:c>
      <x:c r="H839" t="n">
        <x:f>--AND(F839=1,D839='Calculator'!$B$4)</x:f>
        <x:v>0</x:v>
      </x:c>
      <x:c r="I839" t="n">
        <x:f>--AND(H839=1,G839=1)</x:f>
        <x:v>0</x:v>
      </x:c>
      <x:c r="J839" t="n">
        <x:f>--AND(F839=1,E839='Calculator'!$B$4)</x:f>
        <x:v>0</x:v>
      </x:c>
      <x:c r="K839" t="n">
        <x:f>--AND(J839=1,G839=1)</x:f>
        <x:v>0</x:v>
      </x:c>
      <x:c r="L839" t="str">
        <x:f>A839&amp;"/"&amp;B839&amp;"/"&amp;C839</x:f>
        <x:v>14/9/13</x:v>
      </x:c>
      <x:c r="M839" t="str">
        <x:f>MIN(15,A839+'Calculator'!$B$6)&amp;"/"&amp;MIN(15,B839+'Calculator'!$B$6)&amp;"/"&amp;MIN(15,C839+'Calculator'!$B$6)</x:f>
        <x:v>15/11/15</x:v>
      </x:c>
    </x:row>
    <x:row r="840">
      <x:c r="A840" t="n">
        <x:v>14</x:v>
      </x:c>
      <x:c r="B840" t="n">
        <x:v>9</x:v>
      </x:c>
      <x:c r="C840" t="n">
        <x:v>14</x:v>
      </x:c>
      <x:c r="D840" t="n">
        <x:f>MAX(10,ROUNDDOWN((('Calculator'!$B$10+A840)*SQRT('Calculator'!$B$11+B840)*SQRT('Calculator'!$B$12+C840)*0.59740001^2)/10,0))</x:f>
        <x:v>2338</x:v>
      </x:c>
      <x:c r="E840" t="n">
        <x:f>MAX(10,ROUNDDOWN((('Calculator'!$B$10+A840)*SQRT('Calculator'!$B$11+B840)*SQRT('Calculator'!$B$12+C840)*0.667934^2)/10,0))</x:f>
        <x:v>2923</x:v>
      </x:c>
      <x:c r="F840" t="n">
        <x:f>--AND(A840&gt;='Calculator'!$B$5,B840&gt;='Calculator'!$B$5,C840&gt;='Calculator'!$B$5)</x:f>
        <x:v>1</x:v>
      </x:c>
      <x:c r="G840" t="n">
        <x:f>--AND(A840+'Calculator'!$B$6&gt;=15,B840+'Calculator'!$B$6&gt;=15,C840+'Calculator'!$B$6&gt;=15)</x:f>
        <x:v>0</x:v>
      </x:c>
      <x:c r="H840" t="n">
        <x:f>--AND(F840=1,D840='Calculator'!$B$4)</x:f>
        <x:v>0</x:v>
      </x:c>
      <x:c r="I840" t="n">
        <x:f>--AND(H840=1,G840=1)</x:f>
        <x:v>0</x:v>
      </x:c>
      <x:c r="J840" t="n">
        <x:f>--AND(F840=1,E840='Calculator'!$B$4)</x:f>
        <x:v>0</x:v>
      </x:c>
      <x:c r="K840" t="n">
        <x:f>--AND(J840=1,G840=1)</x:f>
        <x:v>0</x:v>
      </x:c>
      <x:c r="L840" t="str">
        <x:f>A840&amp;"/"&amp;B840&amp;"/"&amp;C840</x:f>
        <x:v>14/9/14</x:v>
      </x:c>
      <x:c r="M840" t="str">
        <x:f>MIN(15,A840+'Calculator'!$B$6)&amp;"/"&amp;MIN(15,B840+'Calculator'!$B$6)&amp;"/"&amp;MIN(15,C840+'Calculator'!$B$6)</x:f>
        <x:v>15/11/15</x:v>
      </x:c>
    </x:row>
    <x:row r="841">
      <x:c r="A841" t="n">
        <x:v>14</x:v>
      </x:c>
      <x:c r="B841" t="n">
        <x:v>9</x:v>
      </x:c>
      <x:c r="C841" t="n">
        <x:v>15</x:v>
      </x:c>
      <x:c r="D841" t="n">
        <x:f>MAX(10,ROUNDDOWN((('Calculator'!$B$10+A841)*SQRT('Calculator'!$B$11+B841)*SQRT('Calculator'!$B$12+C841)*0.59740001^2)/10,0))</x:f>
        <x:v>2343</x:v>
      </x:c>
      <x:c r="E841" t="n">
        <x:f>MAX(10,ROUNDDOWN((('Calculator'!$B$10+A841)*SQRT('Calculator'!$B$11+B841)*SQRT('Calculator'!$B$12+C841)*0.667934^2)/10,0))</x:f>
        <x:v>2929</x:v>
      </x:c>
      <x:c r="F841" t="n">
        <x:f>--AND(A841&gt;='Calculator'!$B$5,B841&gt;='Calculator'!$B$5,C841&gt;='Calculator'!$B$5)</x:f>
        <x:v>1</x:v>
      </x:c>
      <x:c r="G841" t="n">
        <x:f>--AND(A841+'Calculator'!$B$6&gt;=15,B841+'Calculator'!$B$6&gt;=15,C841+'Calculator'!$B$6&gt;=15)</x:f>
        <x:v>0</x:v>
      </x:c>
      <x:c r="H841" t="n">
        <x:f>--AND(F841=1,D841='Calculator'!$B$4)</x:f>
        <x:v>0</x:v>
      </x:c>
      <x:c r="I841" t="n">
        <x:f>--AND(H841=1,G841=1)</x:f>
        <x:v>0</x:v>
      </x:c>
      <x:c r="J841" t="n">
        <x:f>--AND(F841=1,E841='Calculator'!$B$4)</x:f>
        <x:v>0</x:v>
      </x:c>
      <x:c r="K841" t="n">
        <x:f>--AND(J841=1,G841=1)</x:f>
        <x:v>0</x:v>
      </x:c>
      <x:c r="L841" t="str">
        <x:f>A841&amp;"/"&amp;B841&amp;"/"&amp;C841</x:f>
        <x:v>14/9/15</x:v>
      </x:c>
      <x:c r="M841" t="str">
        <x:f>MIN(15,A841+'Calculator'!$B$6)&amp;"/"&amp;MIN(15,B841+'Calculator'!$B$6)&amp;"/"&amp;MIN(15,C841+'Calculator'!$B$6)</x:f>
        <x:v>15/11/15</x:v>
      </x:c>
    </x:row>
    <x:row r="842">
      <x:c r="A842" t="n">
        <x:v>14</x:v>
      </x:c>
      <x:c r="B842" t="n">
        <x:v>10</x:v>
      </x:c>
      <x:c r="C842" t="n">
        <x:v>6</x:v>
      </x:c>
      <x:c r="D842" t="n">
        <x:f>MAX(10,ROUNDDOWN((('Calculator'!$B$10+A842)*SQRT('Calculator'!$B$11+B842)*SQRT('Calculator'!$B$12+C842)*0.59740001^2)/10,0))</x:f>
        <x:v>2303</x:v>
      </x:c>
      <x:c r="E842" t="n">
        <x:f>MAX(10,ROUNDDOWN((('Calculator'!$B$10+A842)*SQRT('Calculator'!$B$11+B842)*SQRT('Calculator'!$B$12+C842)*0.667934^2)/10,0))</x:f>
        <x:v>2879</x:v>
      </x:c>
      <x:c r="F842" t="n">
        <x:f>--AND(A842&gt;='Calculator'!$B$5,B842&gt;='Calculator'!$B$5,C842&gt;='Calculator'!$B$5)</x:f>
        <x:v>1</x:v>
      </x:c>
      <x:c r="G842" t="n">
        <x:f>--AND(A842+'Calculator'!$B$6&gt;=15,B842+'Calculator'!$B$6&gt;=15,C842+'Calculator'!$B$6&gt;=15)</x:f>
        <x:v>0</x:v>
      </x:c>
      <x:c r="H842" t="n">
        <x:f>--AND(F842=1,D842='Calculator'!$B$4)</x:f>
        <x:v>0</x:v>
      </x:c>
      <x:c r="I842" t="n">
        <x:f>--AND(H842=1,G842=1)</x:f>
        <x:v>0</x:v>
      </x:c>
      <x:c r="J842" t="n">
        <x:f>--AND(F842=1,E842='Calculator'!$B$4)</x:f>
        <x:v>0</x:v>
      </x:c>
      <x:c r="K842" t="n">
        <x:f>--AND(J842=1,G842=1)</x:f>
        <x:v>0</x:v>
      </x:c>
      <x:c r="L842" t="str">
        <x:f>A842&amp;"/"&amp;B842&amp;"/"&amp;C842</x:f>
        <x:v>14/10/6</x:v>
      </x:c>
      <x:c r="M842" t="str">
        <x:f>MIN(15,A842+'Calculator'!$B$6)&amp;"/"&amp;MIN(15,B842+'Calculator'!$B$6)&amp;"/"&amp;MIN(15,C842+'Calculator'!$B$6)</x:f>
        <x:v>15/12/8</x:v>
      </x:c>
    </x:row>
    <x:row r="843">
      <x:c r="A843" t="n">
        <x:v>14</x:v>
      </x:c>
      <x:c r="B843" t="n">
        <x:v>10</x:v>
      </x:c>
      <x:c r="C843" t="n">
        <x:v>7</x:v>
      </x:c>
      <x:c r="D843" t="n">
        <x:f>MAX(10,ROUNDDOWN((('Calculator'!$B$10+A843)*SQRT('Calculator'!$B$11+B843)*SQRT('Calculator'!$B$12+C843)*0.59740001^2)/10,0))</x:f>
        <x:v>2308</x:v>
      </x:c>
      <x:c r="E843" t="n">
        <x:f>MAX(10,ROUNDDOWN((('Calculator'!$B$10+A843)*SQRT('Calculator'!$B$11+B843)*SQRT('Calculator'!$B$12+C843)*0.667934^2)/10,0))</x:f>
        <x:v>2885</x:v>
      </x:c>
      <x:c r="F843" t="n">
        <x:f>--AND(A843&gt;='Calculator'!$B$5,B843&gt;='Calculator'!$B$5,C843&gt;='Calculator'!$B$5)</x:f>
        <x:v>1</x:v>
      </x:c>
      <x:c r="G843" t="n">
        <x:f>--AND(A843+'Calculator'!$B$6&gt;=15,B843+'Calculator'!$B$6&gt;=15,C843+'Calculator'!$B$6&gt;=15)</x:f>
        <x:v>0</x:v>
      </x:c>
      <x:c r="H843" t="n">
        <x:f>--AND(F843=1,D843='Calculator'!$B$4)</x:f>
        <x:v>0</x:v>
      </x:c>
      <x:c r="I843" t="n">
        <x:f>--AND(H843=1,G843=1)</x:f>
        <x:v>0</x:v>
      </x:c>
      <x:c r="J843" t="n">
        <x:f>--AND(F843=1,E843='Calculator'!$B$4)</x:f>
        <x:v>0</x:v>
      </x:c>
      <x:c r="K843" t="n">
        <x:f>--AND(J843=1,G843=1)</x:f>
        <x:v>0</x:v>
      </x:c>
      <x:c r="L843" t="str">
        <x:f>A843&amp;"/"&amp;B843&amp;"/"&amp;C843</x:f>
        <x:v>14/10/7</x:v>
      </x:c>
      <x:c r="M843" t="str">
        <x:f>MIN(15,A843+'Calculator'!$B$6)&amp;"/"&amp;MIN(15,B843+'Calculator'!$B$6)&amp;"/"&amp;MIN(15,C843+'Calculator'!$B$6)</x:f>
        <x:v>15/12/9</x:v>
      </x:c>
    </x:row>
    <x:row r="844">
      <x:c r="A844" t="n">
        <x:v>14</x:v>
      </x:c>
      <x:c r="B844" t="n">
        <x:v>10</x:v>
      </x:c>
      <x:c r="C844" t="n">
        <x:v>8</x:v>
      </x:c>
      <x:c r="D844" t="n">
        <x:f>MAX(10,ROUNDDOWN((('Calculator'!$B$10+A844)*SQRT('Calculator'!$B$11+B844)*SQRT('Calculator'!$B$12+C844)*0.59740001^2)/10,0))</x:f>
        <x:v>2313</x:v>
      </x:c>
      <x:c r="E844" t="n">
        <x:f>MAX(10,ROUNDDOWN((('Calculator'!$B$10+A844)*SQRT('Calculator'!$B$11+B844)*SQRT('Calculator'!$B$12+C844)*0.667934^2)/10,0))</x:f>
        <x:v>2892</x:v>
      </x:c>
      <x:c r="F844" t="n">
        <x:f>--AND(A844&gt;='Calculator'!$B$5,B844&gt;='Calculator'!$B$5,C844&gt;='Calculator'!$B$5)</x:f>
        <x:v>1</x:v>
      </x:c>
      <x:c r="G844" t="n">
        <x:f>--AND(A844+'Calculator'!$B$6&gt;=15,B844+'Calculator'!$B$6&gt;=15,C844+'Calculator'!$B$6&gt;=15)</x:f>
        <x:v>0</x:v>
      </x:c>
      <x:c r="H844" t="n">
        <x:f>--AND(F844=1,D844='Calculator'!$B$4)</x:f>
        <x:v>0</x:v>
      </x:c>
      <x:c r="I844" t="n">
        <x:f>--AND(H844=1,G844=1)</x:f>
        <x:v>0</x:v>
      </x:c>
      <x:c r="J844" t="n">
        <x:f>--AND(F844=1,E844='Calculator'!$B$4)</x:f>
        <x:v>0</x:v>
      </x:c>
      <x:c r="K844" t="n">
        <x:f>--AND(J844=1,G844=1)</x:f>
        <x:v>0</x:v>
      </x:c>
      <x:c r="L844" t="str">
        <x:f>A844&amp;"/"&amp;B844&amp;"/"&amp;C844</x:f>
        <x:v>14/10/8</x:v>
      </x:c>
      <x:c r="M844" t="str">
        <x:f>MIN(15,A844+'Calculator'!$B$6)&amp;"/"&amp;MIN(15,B844+'Calculator'!$B$6)&amp;"/"&amp;MIN(15,C844+'Calculator'!$B$6)</x:f>
        <x:v>15/12/10</x:v>
      </x:c>
    </x:row>
    <x:row r="845">
      <x:c r="A845" t="n">
        <x:v>14</x:v>
      </x:c>
      <x:c r="B845" t="n">
        <x:v>10</x:v>
      </x:c>
      <x:c r="C845" t="n">
        <x:v>9</x:v>
      </x:c>
      <x:c r="D845" t="n">
        <x:f>MAX(10,ROUNDDOWN((('Calculator'!$B$10+A845)*SQRT('Calculator'!$B$11+B845)*SQRT('Calculator'!$B$12+C845)*0.59740001^2)/10,0))</x:f>
        <x:v>2318</x:v>
      </x:c>
      <x:c r="E845" t="n">
        <x:f>MAX(10,ROUNDDOWN((('Calculator'!$B$10+A845)*SQRT('Calculator'!$B$11+B845)*SQRT('Calculator'!$B$12+C845)*0.667934^2)/10,0))</x:f>
        <x:v>2898</x:v>
      </x:c>
      <x:c r="F845" t="n">
        <x:f>--AND(A845&gt;='Calculator'!$B$5,B845&gt;='Calculator'!$B$5,C845&gt;='Calculator'!$B$5)</x:f>
        <x:v>1</x:v>
      </x:c>
      <x:c r="G845" t="n">
        <x:f>--AND(A845+'Calculator'!$B$6&gt;=15,B845+'Calculator'!$B$6&gt;=15,C845+'Calculator'!$B$6&gt;=15)</x:f>
        <x:v>0</x:v>
      </x:c>
      <x:c r="H845" t="n">
        <x:f>--AND(F845=1,D845='Calculator'!$B$4)</x:f>
        <x:v>0</x:v>
      </x:c>
      <x:c r="I845" t="n">
        <x:f>--AND(H845=1,G845=1)</x:f>
        <x:v>0</x:v>
      </x:c>
      <x:c r="J845" t="n">
        <x:f>--AND(F845=1,E845='Calculator'!$B$4)</x:f>
        <x:v>0</x:v>
      </x:c>
      <x:c r="K845" t="n">
        <x:f>--AND(J845=1,G845=1)</x:f>
        <x:v>0</x:v>
      </x:c>
      <x:c r="L845" t="str">
        <x:f>A845&amp;"/"&amp;B845&amp;"/"&amp;C845</x:f>
        <x:v>14/10/9</x:v>
      </x:c>
      <x:c r="M845" t="str">
        <x:f>MIN(15,A845+'Calculator'!$B$6)&amp;"/"&amp;MIN(15,B845+'Calculator'!$B$6)&amp;"/"&amp;MIN(15,C845+'Calculator'!$B$6)</x:f>
        <x:v>15/12/11</x:v>
      </x:c>
    </x:row>
    <x:row r="846">
      <x:c r="A846" t="n">
        <x:v>14</x:v>
      </x:c>
      <x:c r="B846" t="n">
        <x:v>10</x:v>
      </x:c>
      <x:c r="C846" t="n">
        <x:v>10</x:v>
      </x:c>
      <x:c r="D846" t="n">
        <x:f>MAX(10,ROUNDDOWN((('Calculator'!$B$10+A846)*SQRT('Calculator'!$B$11+B846)*SQRT('Calculator'!$B$12+C846)*0.59740001^2)/10,0))</x:f>
        <x:v>2323</x:v>
      </x:c>
      <x:c r="E846" t="n">
        <x:f>MAX(10,ROUNDDOWN((('Calculator'!$B$10+A846)*SQRT('Calculator'!$B$11+B846)*SQRT('Calculator'!$B$12+C846)*0.667934^2)/10,0))</x:f>
        <x:v>2905</x:v>
      </x:c>
      <x:c r="F846" t="n">
        <x:f>--AND(A846&gt;='Calculator'!$B$5,B846&gt;='Calculator'!$B$5,C846&gt;='Calculator'!$B$5)</x:f>
        <x:v>1</x:v>
      </x:c>
      <x:c r="G846" t="n">
        <x:f>--AND(A846+'Calculator'!$B$6&gt;=15,B846+'Calculator'!$B$6&gt;=15,C846+'Calculator'!$B$6&gt;=15)</x:f>
        <x:v>0</x:v>
      </x:c>
      <x:c r="H846" t="n">
        <x:f>--AND(F846=1,D846='Calculator'!$B$4)</x:f>
        <x:v>0</x:v>
      </x:c>
      <x:c r="I846" t="n">
        <x:f>--AND(H846=1,G846=1)</x:f>
        <x:v>0</x:v>
      </x:c>
      <x:c r="J846" t="n">
        <x:f>--AND(F846=1,E846='Calculator'!$B$4)</x:f>
        <x:v>0</x:v>
      </x:c>
      <x:c r="K846" t="n">
        <x:f>--AND(J846=1,G846=1)</x:f>
        <x:v>0</x:v>
      </x:c>
      <x:c r="L846" t="str">
        <x:f>A846&amp;"/"&amp;B846&amp;"/"&amp;C846</x:f>
        <x:v>14/10/10</x:v>
      </x:c>
      <x:c r="M846" t="str">
        <x:f>MIN(15,A846+'Calculator'!$B$6)&amp;"/"&amp;MIN(15,B846+'Calculator'!$B$6)&amp;"/"&amp;MIN(15,C846+'Calculator'!$B$6)</x:f>
        <x:v>15/12/12</x:v>
      </x:c>
    </x:row>
    <x:row r="847">
      <x:c r="A847" t="n">
        <x:v>14</x:v>
      </x:c>
      <x:c r="B847" t="n">
        <x:v>10</x:v>
      </x:c>
      <x:c r="C847" t="n">
        <x:v>11</x:v>
      </x:c>
      <x:c r="D847" t="n">
        <x:f>MAX(10,ROUNDDOWN((('Calculator'!$B$10+A847)*SQRT('Calculator'!$B$11+B847)*SQRT('Calculator'!$B$12+C847)*0.59740001^2)/10,0))</x:f>
        <x:v>2329</x:v>
      </x:c>
      <x:c r="E847" t="n">
        <x:f>MAX(10,ROUNDDOWN((('Calculator'!$B$10+A847)*SQRT('Calculator'!$B$11+B847)*SQRT('Calculator'!$B$12+C847)*0.667934^2)/10,0))</x:f>
        <x:v>2911</x:v>
      </x:c>
      <x:c r="F847" t="n">
        <x:f>--AND(A847&gt;='Calculator'!$B$5,B847&gt;='Calculator'!$B$5,C847&gt;='Calculator'!$B$5)</x:f>
        <x:v>1</x:v>
      </x:c>
      <x:c r="G847" t="n">
        <x:f>--AND(A847+'Calculator'!$B$6&gt;=15,B847+'Calculator'!$B$6&gt;=15,C847+'Calculator'!$B$6&gt;=15)</x:f>
        <x:v>0</x:v>
      </x:c>
      <x:c r="H847" t="n">
        <x:f>--AND(F847=1,D847='Calculator'!$B$4)</x:f>
        <x:v>0</x:v>
      </x:c>
      <x:c r="I847" t="n">
        <x:f>--AND(H847=1,G847=1)</x:f>
        <x:v>0</x:v>
      </x:c>
      <x:c r="J847" t="n">
        <x:f>--AND(F847=1,E847='Calculator'!$B$4)</x:f>
        <x:v>0</x:v>
      </x:c>
      <x:c r="K847" t="n">
        <x:f>--AND(J847=1,G847=1)</x:f>
        <x:v>0</x:v>
      </x:c>
      <x:c r="L847" t="str">
        <x:f>A847&amp;"/"&amp;B847&amp;"/"&amp;C847</x:f>
        <x:v>14/10/11</x:v>
      </x:c>
      <x:c r="M847" t="str">
        <x:f>MIN(15,A847+'Calculator'!$B$6)&amp;"/"&amp;MIN(15,B847+'Calculator'!$B$6)&amp;"/"&amp;MIN(15,C847+'Calculator'!$B$6)</x:f>
        <x:v>15/12/13</x:v>
      </x:c>
    </x:row>
    <x:row r="848">
      <x:c r="A848" t="n">
        <x:v>14</x:v>
      </x:c>
      <x:c r="B848" t="n">
        <x:v>10</x:v>
      </x:c>
      <x:c r="C848" t="n">
        <x:v>12</x:v>
      </x:c>
      <x:c r="D848" t="n">
        <x:f>MAX(10,ROUNDDOWN((('Calculator'!$B$10+A848)*SQRT('Calculator'!$B$11+B848)*SQRT('Calculator'!$B$12+C848)*0.59740001^2)/10,0))</x:f>
        <x:v>2334</x:v>
      </x:c>
      <x:c r="E848" t="n">
        <x:f>MAX(10,ROUNDDOWN((('Calculator'!$B$10+A848)*SQRT('Calculator'!$B$11+B848)*SQRT('Calculator'!$B$12+C848)*0.667934^2)/10,0))</x:f>
        <x:v>2918</x:v>
      </x:c>
      <x:c r="F848" t="n">
        <x:f>--AND(A848&gt;='Calculator'!$B$5,B848&gt;='Calculator'!$B$5,C848&gt;='Calculator'!$B$5)</x:f>
        <x:v>1</x:v>
      </x:c>
      <x:c r="G848" t="n">
        <x:f>--AND(A848+'Calculator'!$B$6&gt;=15,B848+'Calculator'!$B$6&gt;=15,C848+'Calculator'!$B$6&gt;=15)</x:f>
        <x:v>0</x:v>
      </x:c>
      <x:c r="H848" t="n">
        <x:f>--AND(F848=1,D848='Calculator'!$B$4)</x:f>
        <x:v>0</x:v>
      </x:c>
      <x:c r="I848" t="n">
        <x:f>--AND(H848=1,G848=1)</x:f>
        <x:v>0</x:v>
      </x:c>
      <x:c r="J848" t="n">
        <x:f>--AND(F848=1,E848='Calculator'!$B$4)</x:f>
        <x:v>0</x:v>
      </x:c>
      <x:c r="K848" t="n">
        <x:f>--AND(J848=1,G848=1)</x:f>
        <x:v>0</x:v>
      </x:c>
      <x:c r="L848" t="str">
        <x:f>A848&amp;"/"&amp;B848&amp;"/"&amp;C848</x:f>
        <x:v>14/10/12</x:v>
      </x:c>
      <x:c r="M848" t="str">
        <x:f>MIN(15,A848+'Calculator'!$B$6)&amp;"/"&amp;MIN(15,B848+'Calculator'!$B$6)&amp;"/"&amp;MIN(15,C848+'Calculator'!$B$6)</x:f>
        <x:v>15/12/14</x:v>
      </x:c>
    </x:row>
    <x:row r="849">
      <x:c r="A849" t="n">
        <x:v>14</x:v>
      </x:c>
      <x:c r="B849" t="n">
        <x:v>10</x:v>
      </x:c>
      <x:c r="C849" t="n">
        <x:v>13</x:v>
      </x:c>
      <x:c r="D849" t="n">
        <x:f>MAX(10,ROUNDDOWN((('Calculator'!$B$10+A849)*SQRT('Calculator'!$B$11+B849)*SQRT('Calculator'!$B$12+C849)*0.59740001^2)/10,0))</x:f>
        <x:v>2339</x:v>
      </x:c>
      <x:c r="E849" t="n">
        <x:f>MAX(10,ROUNDDOWN((('Calculator'!$B$10+A849)*SQRT('Calculator'!$B$11+B849)*SQRT('Calculator'!$B$12+C849)*0.667934^2)/10,0))</x:f>
        <x:v>2924</x:v>
      </x:c>
      <x:c r="F849" t="n">
        <x:f>--AND(A849&gt;='Calculator'!$B$5,B849&gt;='Calculator'!$B$5,C849&gt;='Calculator'!$B$5)</x:f>
        <x:v>1</x:v>
      </x:c>
      <x:c r="G849" t="n">
        <x:f>--AND(A849+'Calculator'!$B$6&gt;=15,B849+'Calculator'!$B$6&gt;=15,C849+'Calculator'!$B$6&gt;=15)</x:f>
        <x:v>0</x:v>
      </x:c>
      <x:c r="H849" t="n">
        <x:f>--AND(F849=1,D849='Calculator'!$B$4)</x:f>
        <x:v>0</x:v>
      </x:c>
      <x:c r="I849" t="n">
        <x:f>--AND(H849=1,G849=1)</x:f>
        <x:v>0</x:v>
      </x:c>
      <x:c r="J849" t="n">
        <x:f>--AND(F849=1,E849='Calculator'!$B$4)</x:f>
        <x:v>0</x:v>
      </x:c>
      <x:c r="K849" t="n">
        <x:f>--AND(J849=1,G849=1)</x:f>
        <x:v>0</x:v>
      </x:c>
      <x:c r="L849" t="str">
        <x:f>A849&amp;"/"&amp;B849&amp;"/"&amp;C849</x:f>
        <x:v>14/10/13</x:v>
      </x:c>
      <x:c r="M849" t="str">
        <x:f>MIN(15,A849+'Calculator'!$B$6)&amp;"/"&amp;MIN(15,B849+'Calculator'!$B$6)&amp;"/"&amp;MIN(15,C849+'Calculator'!$B$6)</x:f>
        <x:v>15/12/15</x:v>
      </x:c>
    </x:row>
    <x:row r="850">
      <x:c r="A850" t="n">
        <x:v>14</x:v>
      </x:c>
      <x:c r="B850" t="n">
        <x:v>10</x:v>
      </x:c>
      <x:c r="C850" t="n">
        <x:v>14</x:v>
      </x:c>
      <x:c r="D850" t="n">
        <x:f>MAX(10,ROUNDDOWN((('Calculator'!$B$10+A850)*SQRT('Calculator'!$B$11+B850)*SQRT('Calculator'!$B$12+C850)*0.59740001^2)/10,0))</x:f>
        <x:v>2344</x:v>
      </x:c>
      <x:c r="E850" t="n">
        <x:f>MAX(10,ROUNDDOWN((('Calculator'!$B$10+A850)*SQRT('Calculator'!$B$11+B850)*SQRT('Calculator'!$B$12+C850)*0.667934^2)/10,0))</x:f>
        <x:v>2930</x:v>
      </x:c>
      <x:c r="F850" t="n">
        <x:f>--AND(A850&gt;='Calculator'!$B$5,B850&gt;='Calculator'!$B$5,C850&gt;='Calculator'!$B$5)</x:f>
        <x:v>1</x:v>
      </x:c>
      <x:c r="G850" t="n">
        <x:f>--AND(A850+'Calculator'!$B$6&gt;=15,B850+'Calculator'!$B$6&gt;=15,C850+'Calculator'!$B$6&gt;=15)</x:f>
        <x:v>0</x:v>
      </x:c>
      <x:c r="H850" t="n">
        <x:f>--AND(F850=1,D850='Calculator'!$B$4)</x:f>
        <x:v>0</x:v>
      </x:c>
      <x:c r="I850" t="n">
        <x:f>--AND(H850=1,G850=1)</x:f>
        <x:v>0</x:v>
      </x:c>
      <x:c r="J850" t="n">
        <x:f>--AND(F850=1,E850='Calculator'!$B$4)</x:f>
        <x:v>0</x:v>
      </x:c>
      <x:c r="K850" t="n">
        <x:f>--AND(J850=1,G850=1)</x:f>
        <x:v>0</x:v>
      </x:c>
      <x:c r="L850" t="str">
        <x:f>A850&amp;"/"&amp;B850&amp;"/"&amp;C850</x:f>
        <x:v>14/10/14</x:v>
      </x:c>
      <x:c r="M850" t="str">
        <x:f>MIN(15,A850+'Calculator'!$B$6)&amp;"/"&amp;MIN(15,B850+'Calculator'!$B$6)&amp;"/"&amp;MIN(15,C850+'Calculator'!$B$6)</x:f>
        <x:v>15/12/15</x:v>
      </x:c>
    </x:row>
    <x:row r="851">
      <x:c r="A851" t="n">
        <x:v>14</x:v>
      </x:c>
      <x:c r="B851" t="n">
        <x:v>10</x:v>
      </x:c>
      <x:c r="C851" t="n">
        <x:v>15</x:v>
      </x:c>
      <x:c r="D851" t="n">
        <x:f>MAX(10,ROUNDDOWN((('Calculator'!$B$10+A851)*SQRT('Calculator'!$B$11+B851)*SQRT('Calculator'!$B$12+C851)*0.59740001^2)/10,0))</x:f>
        <x:v>2349</x:v>
      </x:c>
      <x:c r="E851" t="n">
        <x:f>MAX(10,ROUNDDOWN((('Calculator'!$B$10+A851)*SQRT('Calculator'!$B$11+B851)*SQRT('Calculator'!$B$12+C851)*0.667934^2)/10,0))</x:f>
        <x:v>2937</x:v>
      </x:c>
      <x:c r="F851" t="n">
        <x:f>--AND(A851&gt;='Calculator'!$B$5,B851&gt;='Calculator'!$B$5,C851&gt;='Calculator'!$B$5)</x:f>
        <x:v>1</x:v>
      </x:c>
      <x:c r="G851" t="n">
        <x:f>--AND(A851+'Calculator'!$B$6&gt;=15,B851+'Calculator'!$B$6&gt;=15,C851+'Calculator'!$B$6&gt;=15)</x:f>
        <x:v>0</x:v>
      </x:c>
      <x:c r="H851" t="n">
        <x:f>--AND(F851=1,D851='Calculator'!$B$4)</x:f>
        <x:v>0</x:v>
      </x:c>
      <x:c r="I851" t="n">
        <x:f>--AND(H851=1,G851=1)</x:f>
        <x:v>0</x:v>
      </x:c>
      <x:c r="J851" t="n">
        <x:f>--AND(F851=1,E851='Calculator'!$B$4)</x:f>
        <x:v>0</x:v>
      </x:c>
      <x:c r="K851" t="n">
        <x:f>--AND(J851=1,G851=1)</x:f>
        <x:v>0</x:v>
      </x:c>
      <x:c r="L851" t="str">
        <x:f>A851&amp;"/"&amp;B851&amp;"/"&amp;C851</x:f>
        <x:v>14/10/15</x:v>
      </x:c>
      <x:c r="M851" t="str">
        <x:f>MIN(15,A851+'Calculator'!$B$6)&amp;"/"&amp;MIN(15,B851+'Calculator'!$B$6)&amp;"/"&amp;MIN(15,C851+'Calculator'!$B$6)</x:f>
        <x:v>15/12/15</x:v>
      </x:c>
    </x:row>
    <x:row r="852">
      <x:c r="A852" t="n">
        <x:v>14</x:v>
      </x:c>
      <x:c r="B852" t="n">
        <x:v>11</x:v>
      </x:c>
      <x:c r="C852" t="n">
        <x:v>6</x:v>
      </x:c>
      <x:c r="D852" t="n">
        <x:f>MAX(10,ROUNDDOWN((('Calculator'!$B$10+A852)*SQRT('Calculator'!$B$11+B852)*SQRT('Calculator'!$B$12+C852)*0.59740001^2)/10,0))</x:f>
        <x:v>2309</x:v>
      </x:c>
      <x:c r="E852" t="n">
        <x:f>MAX(10,ROUNDDOWN((('Calculator'!$B$10+A852)*SQRT('Calculator'!$B$11+B852)*SQRT('Calculator'!$B$12+C852)*0.667934^2)/10,0))</x:f>
        <x:v>2886</x:v>
      </x:c>
      <x:c r="F852" t="n">
        <x:f>--AND(A852&gt;='Calculator'!$B$5,B852&gt;='Calculator'!$B$5,C852&gt;='Calculator'!$B$5)</x:f>
        <x:v>1</x:v>
      </x:c>
      <x:c r="G852" t="n">
        <x:f>--AND(A852+'Calculator'!$B$6&gt;=15,B852+'Calculator'!$B$6&gt;=15,C852+'Calculator'!$B$6&gt;=15)</x:f>
        <x:v>0</x:v>
      </x:c>
      <x:c r="H852" t="n">
        <x:f>--AND(F852=1,D852='Calculator'!$B$4)</x:f>
        <x:v>0</x:v>
      </x:c>
      <x:c r="I852" t="n">
        <x:f>--AND(H852=1,G852=1)</x:f>
        <x:v>0</x:v>
      </x:c>
      <x:c r="J852" t="n">
        <x:f>--AND(F852=1,E852='Calculator'!$B$4)</x:f>
        <x:v>0</x:v>
      </x:c>
      <x:c r="K852" t="n">
        <x:f>--AND(J852=1,G852=1)</x:f>
        <x:v>0</x:v>
      </x:c>
      <x:c r="L852" t="str">
        <x:f>A852&amp;"/"&amp;B852&amp;"/"&amp;C852</x:f>
        <x:v>14/11/6</x:v>
      </x:c>
      <x:c r="M852" t="str">
        <x:f>MIN(15,A852+'Calculator'!$B$6)&amp;"/"&amp;MIN(15,B852+'Calculator'!$B$6)&amp;"/"&amp;MIN(15,C852+'Calculator'!$B$6)</x:f>
        <x:v>15/13/8</x:v>
      </x:c>
    </x:row>
    <x:row r="853">
      <x:c r="A853" t="n">
        <x:v>14</x:v>
      </x:c>
      <x:c r="B853" t="n">
        <x:v>11</x:v>
      </x:c>
      <x:c r="C853" t="n">
        <x:v>7</x:v>
      </x:c>
      <x:c r="D853" t="n">
        <x:f>MAX(10,ROUNDDOWN((('Calculator'!$B$10+A853)*SQRT('Calculator'!$B$11+B853)*SQRT('Calculator'!$B$12+C853)*0.59740001^2)/10,0))</x:f>
        <x:v>2314</x:v>
      </x:c>
      <x:c r="E853" t="n">
        <x:f>MAX(10,ROUNDDOWN((('Calculator'!$B$10+A853)*SQRT('Calculator'!$B$11+B853)*SQRT('Calculator'!$B$12+C853)*0.667934^2)/10,0))</x:f>
        <x:v>2893</x:v>
      </x:c>
      <x:c r="F853" t="n">
        <x:f>--AND(A853&gt;='Calculator'!$B$5,B853&gt;='Calculator'!$B$5,C853&gt;='Calculator'!$B$5)</x:f>
        <x:v>1</x:v>
      </x:c>
      <x:c r="G853" t="n">
        <x:f>--AND(A853+'Calculator'!$B$6&gt;=15,B853+'Calculator'!$B$6&gt;=15,C853+'Calculator'!$B$6&gt;=15)</x:f>
        <x:v>0</x:v>
      </x:c>
      <x:c r="H853" t="n">
        <x:f>--AND(F853=1,D853='Calculator'!$B$4)</x:f>
        <x:v>0</x:v>
      </x:c>
      <x:c r="I853" t="n">
        <x:f>--AND(H853=1,G853=1)</x:f>
        <x:v>0</x:v>
      </x:c>
      <x:c r="J853" t="n">
        <x:f>--AND(F853=1,E853='Calculator'!$B$4)</x:f>
        <x:v>0</x:v>
      </x:c>
      <x:c r="K853" t="n">
        <x:f>--AND(J853=1,G853=1)</x:f>
        <x:v>0</x:v>
      </x:c>
      <x:c r="L853" t="str">
        <x:f>A853&amp;"/"&amp;B853&amp;"/"&amp;C853</x:f>
        <x:v>14/11/7</x:v>
      </x:c>
      <x:c r="M853" t="str">
        <x:f>MIN(15,A853+'Calculator'!$B$6)&amp;"/"&amp;MIN(15,B853+'Calculator'!$B$6)&amp;"/"&amp;MIN(15,C853+'Calculator'!$B$6)</x:f>
        <x:v>15/13/9</x:v>
      </x:c>
    </x:row>
    <x:row r="854">
      <x:c r="A854" t="n">
        <x:v>14</x:v>
      </x:c>
      <x:c r="B854" t="n">
        <x:v>11</x:v>
      </x:c>
      <x:c r="C854" t="n">
        <x:v>8</x:v>
      </x:c>
      <x:c r="D854" t="n">
        <x:f>MAX(10,ROUNDDOWN((('Calculator'!$B$10+A854)*SQRT('Calculator'!$B$11+B854)*SQRT('Calculator'!$B$12+C854)*0.59740001^2)/10,0))</x:f>
        <x:v>2319</x:v>
      </x:c>
      <x:c r="E854" t="n">
        <x:f>MAX(10,ROUNDDOWN((('Calculator'!$B$10+A854)*SQRT('Calculator'!$B$11+B854)*SQRT('Calculator'!$B$12+C854)*0.667934^2)/10,0))</x:f>
        <x:v>2899</x:v>
      </x:c>
      <x:c r="F854" t="n">
        <x:f>--AND(A854&gt;='Calculator'!$B$5,B854&gt;='Calculator'!$B$5,C854&gt;='Calculator'!$B$5)</x:f>
        <x:v>1</x:v>
      </x:c>
      <x:c r="G854" t="n">
        <x:f>--AND(A854+'Calculator'!$B$6&gt;=15,B854+'Calculator'!$B$6&gt;=15,C854+'Calculator'!$B$6&gt;=15)</x:f>
        <x:v>0</x:v>
      </x:c>
      <x:c r="H854" t="n">
        <x:f>--AND(F854=1,D854='Calculator'!$B$4)</x:f>
        <x:v>0</x:v>
      </x:c>
      <x:c r="I854" t="n">
        <x:f>--AND(H854=1,G854=1)</x:f>
        <x:v>0</x:v>
      </x:c>
      <x:c r="J854" t="n">
        <x:f>--AND(F854=1,E854='Calculator'!$B$4)</x:f>
        <x:v>0</x:v>
      </x:c>
      <x:c r="K854" t="n">
        <x:f>--AND(J854=1,G854=1)</x:f>
        <x:v>0</x:v>
      </x:c>
      <x:c r="L854" t="str">
        <x:f>A854&amp;"/"&amp;B854&amp;"/"&amp;C854</x:f>
        <x:v>14/11/8</x:v>
      </x:c>
      <x:c r="M854" t="str">
        <x:f>MIN(15,A854+'Calculator'!$B$6)&amp;"/"&amp;MIN(15,B854+'Calculator'!$B$6)&amp;"/"&amp;MIN(15,C854+'Calculator'!$B$6)</x:f>
        <x:v>15/13/10</x:v>
      </x:c>
    </x:row>
    <x:row r="855">
      <x:c r="A855" t="n">
        <x:v>14</x:v>
      </x:c>
      <x:c r="B855" t="n">
        <x:v>11</x:v>
      </x:c>
      <x:c r="C855" t="n">
        <x:v>9</x:v>
      </x:c>
      <x:c r="D855" t="n">
        <x:f>MAX(10,ROUNDDOWN((('Calculator'!$B$10+A855)*SQRT('Calculator'!$B$11+B855)*SQRT('Calculator'!$B$12+C855)*0.59740001^2)/10,0))</x:f>
        <x:v>2324</x:v>
      </x:c>
      <x:c r="E855" t="n">
        <x:f>MAX(10,ROUNDDOWN((('Calculator'!$B$10+A855)*SQRT('Calculator'!$B$11+B855)*SQRT('Calculator'!$B$12+C855)*0.667934^2)/10,0))</x:f>
        <x:v>2906</x:v>
      </x:c>
      <x:c r="F855" t="n">
        <x:f>--AND(A855&gt;='Calculator'!$B$5,B855&gt;='Calculator'!$B$5,C855&gt;='Calculator'!$B$5)</x:f>
        <x:v>1</x:v>
      </x:c>
      <x:c r="G855" t="n">
        <x:f>--AND(A855+'Calculator'!$B$6&gt;=15,B855+'Calculator'!$B$6&gt;=15,C855+'Calculator'!$B$6&gt;=15)</x:f>
        <x:v>0</x:v>
      </x:c>
      <x:c r="H855" t="n">
        <x:f>--AND(F855=1,D855='Calculator'!$B$4)</x:f>
        <x:v>0</x:v>
      </x:c>
      <x:c r="I855" t="n">
        <x:f>--AND(H855=1,G855=1)</x:f>
        <x:v>0</x:v>
      </x:c>
      <x:c r="J855" t="n">
        <x:f>--AND(F855=1,E855='Calculator'!$B$4)</x:f>
        <x:v>0</x:v>
      </x:c>
      <x:c r="K855" t="n">
        <x:f>--AND(J855=1,G855=1)</x:f>
        <x:v>0</x:v>
      </x:c>
      <x:c r="L855" t="str">
        <x:f>A855&amp;"/"&amp;B855&amp;"/"&amp;C855</x:f>
        <x:v>14/11/9</x:v>
      </x:c>
      <x:c r="M855" t="str">
        <x:f>MIN(15,A855+'Calculator'!$B$6)&amp;"/"&amp;MIN(15,B855+'Calculator'!$B$6)&amp;"/"&amp;MIN(15,C855+'Calculator'!$B$6)</x:f>
        <x:v>15/13/11</x:v>
      </x:c>
    </x:row>
    <x:row r="856">
      <x:c r="A856" t="n">
        <x:v>14</x:v>
      </x:c>
      <x:c r="B856" t="n">
        <x:v>11</x:v>
      </x:c>
      <x:c r="C856" t="n">
        <x:v>10</x:v>
      </x:c>
      <x:c r="D856" t="n">
        <x:f>MAX(10,ROUNDDOWN((('Calculator'!$B$10+A856)*SQRT('Calculator'!$B$11+B856)*SQRT('Calculator'!$B$12+C856)*0.59740001^2)/10,0))</x:f>
        <x:v>2330</x:v>
      </x:c>
      <x:c r="E856" t="n">
        <x:f>MAX(10,ROUNDDOWN((('Calculator'!$B$10+A856)*SQRT('Calculator'!$B$11+B856)*SQRT('Calculator'!$B$12+C856)*0.667934^2)/10,0))</x:f>
        <x:v>2912</x:v>
      </x:c>
      <x:c r="F856" t="n">
        <x:f>--AND(A856&gt;='Calculator'!$B$5,B856&gt;='Calculator'!$B$5,C856&gt;='Calculator'!$B$5)</x:f>
        <x:v>1</x:v>
      </x:c>
      <x:c r="G856" t="n">
        <x:f>--AND(A856+'Calculator'!$B$6&gt;=15,B856+'Calculator'!$B$6&gt;=15,C856+'Calculator'!$B$6&gt;=15)</x:f>
        <x:v>0</x:v>
      </x:c>
      <x:c r="H856" t="n">
        <x:f>--AND(F856=1,D856='Calculator'!$B$4)</x:f>
        <x:v>0</x:v>
      </x:c>
      <x:c r="I856" t="n">
        <x:f>--AND(H856=1,G856=1)</x:f>
        <x:v>0</x:v>
      </x:c>
      <x:c r="J856" t="n">
        <x:f>--AND(F856=1,E856='Calculator'!$B$4)</x:f>
        <x:v>0</x:v>
      </x:c>
      <x:c r="K856" t="n">
        <x:f>--AND(J856=1,G856=1)</x:f>
        <x:v>0</x:v>
      </x:c>
      <x:c r="L856" t="str">
        <x:f>A856&amp;"/"&amp;B856&amp;"/"&amp;C856</x:f>
        <x:v>14/11/10</x:v>
      </x:c>
      <x:c r="M856" t="str">
        <x:f>MIN(15,A856+'Calculator'!$B$6)&amp;"/"&amp;MIN(15,B856+'Calculator'!$B$6)&amp;"/"&amp;MIN(15,C856+'Calculator'!$B$6)</x:f>
        <x:v>15/13/12</x:v>
      </x:c>
    </x:row>
    <x:row r="857">
      <x:c r="A857" t="n">
        <x:v>14</x:v>
      </x:c>
      <x:c r="B857" t="n">
        <x:v>11</x:v>
      </x:c>
      <x:c r="C857" t="n">
        <x:v>11</x:v>
      </x:c>
      <x:c r="D857" t="n">
        <x:f>MAX(10,ROUNDDOWN((('Calculator'!$B$10+A857)*SQRT('Calculator'!$B$11+B857)*SQRT('Calculator'!$B$12+C857)*0.59740001^2)/10,0))</x:f>
        <x:v>2335</x:v>
      </x:c>
      <x:c r="E857" t="n">
        <x:f>MAX(10,ROUNDDOWN((('Calculator'!$B$10+A857)*SQRT('Calculator'!$B$11+B857)*SQRT('Calculator'!$B$12+C857)*0.667934^2)/10,0))</x:f>
        <x:v>2919</x:v>
      </x:c>
      <x:c r="F857" t="n">
        <x:f>--AND(A857&gt;='Calculator'!$B$5,B857&gt;='Calculator'!$B$5,C857&gt;='Calculator'!$B$5)</x:f>
        <x:v>1</x:v>
      </x:c>
      <x:c r="G857" t="n">
        <x:f>--AND(A857+'Calculator'!$B$6&gt;=15,B857+'Calculator'!$B$6&gt;=15,C857+'Calculator'!$B$6&gt;=15)</x:f>
        <x:v>0</x:v>
      </x:c>
      <x:c r="H857" t="n">
        <x:f>--AND(F857=1,D857='Calculator'!$B$4)</x:f>
        <x:v>0</x:v>
      </x:c>
      <x:c r="I857" t="n">
        <x:f>--AND(H857=1,G857=1)</x:f>
        <x:v>0</x:v>
      </x:c>
      <x:c r="J857" t="n">
        <x:f>--AND(F857=1,E857='Calculator'!$B$4)</x:f>
        <x:v>0</x:v>
      </x:c>
      <x:c r="K857" t="n">
        <x:f>--AND(J857=1,G857=1)</x:f>
        <x:v>0</x:v>
      </x:c>
      <x:c r="L857" t="str">
        <x:f>A857&amp;"/"&amp;B857&amp;"/"&amp;C857</x:f>
        <x:v>14/11/11</x:v>
      </x:c>
      <x:c r="M857" t="str">
        <x:f>MIN(15,A857+'Calculator'!$B$6)&amp;"/"&amp;MIN(15,B857+'Calculator'!$B$6)&amp;"/"&amp;MIN(15,C857+'Calculator'!$B$6)</x:f>
        <x:v>15/13/13</x:v>
      </x:c>
    </x:row>
    <x:row r="858">
      <x:c r="A858" t="n">
        <x:v>14</x:v>
      </x:c>
      <x:c r="B858" t="n">
        <x:v>11</x:v>
      </x:c>
      <x:c r="C858" t="n">
        <x:v>12</x:v>
      </x:c>
      <x:c r="D858" t="n">
        <x:f>MAX(10,ROUNDDOWN((('Calculator'!$B$10+A858)*SQRT('Calculator'!$B$11+B858)*SQRT('Calculator'!$B$12+C858)*0.59740001^2)/10,0))</x:f>
        <x:v>2340</x:v>
      </x:c>
      <x:c r="E858" t="n">
        <x:f>MAX(10,ROUNDDOWN((('Calculator'!$B$10+A858)*SQRT('Calculator'!$B$11+B858)*SQRT('Calculator'!$B$12+C858)*0.667934^2)/10,0))</x:f>
        <x:v>2925</x:v>
      </x:c>
      <x:c r="F858" t="n">
        <x:f>--AND(A858&gt;='Calculator'!$B$5,B858&gt;='Calculator'!$B$5,C858&gt;='Calculator'!$B$5)</x:f>
        <x:v>1</x:v>
      </x:c>
      <x:c r="G858" t="n">
        <x:f>--AND(A858+'Calculator'!$B$6&gt;=15,B858+'Calculator'!$B$6&gt;=15,C858+'Calculator'!$B$6&gt;=15)</x:f>
        <x:v>0</x:v>
      </x:c>
      <x:c r="H858" t="n">
        <x:f>--AND(F858=1,D858='Calculator'!$B$4)</x:f>
        <x:v>0</x:v>
      </x:c>
      <x:c r="I858" t="n">
        <x:f>--AND(H858=1,G858=1)</x:f>
        <x:v>0</x:v>
      </x:c>
      <x:c r="J858" t="n">
        <x:f>--AND(F858=1,E858='Calculator'!$B$4)</x:f>
        <x:v>0</x:v>
      </x:c>
      <x:c r="K858" t="n">
        <x:f>--AND(J858=1,G858=1)</x:f>
        <x:v>0</x:v>
      </x:c>
      <x:c r="L858" t="str">
        <x:f>A858&amp;"/"&amp;B858&amp;"/"&amp;C858</x:f>
        <x:v>14/11/12</x:v>
      </x:c>
      <x:c r="M858" t="str">
        <x:f>MIN(15,A858+'Calculator'!$B$6)&amp;"/"&amp;MIN(15,B858+'Calculator'!$B$6)&amp;"/"&amp;MIN(15,C858+'Calculator'!$B$6)</x:f>
        <x:v>15/13/14</x:v>
      </x:c>
    </x:row>
    <x:row r="859">
      <x:c r="A859" t="n">
        <x:v>14</x:v>
      </x:c>
      <x:c r="B859" t="n">
        <x:v>11</x:v>
      </x:c>
      <x:c r="C859" t="n">
        <x:v>13</x:v>
      </x:c>
      <x:c r="D859" t="n">
        <x:f>MAX(10,ROUNDDOWN((('Calculator'!$B$10+A859)*SQRT('Calculator'!$B$11+B859)*SQRT('Calculator'!$B$12+C859)*0.59740001^2)/10,0))</x:f>
        <x:v>2345</x:v>
      </x:c>
      <x:c r="E859" t="n">
        <x:f>MAX(10,ROUNDDOWN((('Calculator'!$B$10+A859)*SQRT('Calculator'!$B$11+B859)*SQRT('Calculator'!$B$12+C859)*0.667934^2)/10,0))</x:f>
        <x:v>2932</x:v>
      </x:c>
      <x:c r="F859" t="n">
        <x:f>--AND(A859&gt;='Calculator'!$B$5,B859&gt;='Calculator'!$B$5,C859&gt;='Calculator'!$B$5)</x:f>
        <x:v>1</x:v>
      </x:c>
      <x:c r="G859" t="n">
        <x:f>--AND(A859+'Calculator'!$B$6&gt;=15,B859+'Calculator'!$B$6&gt;=15,C859+'Calculator'!$B$6&gt;=15)</x:f>
        <x:v>0</x:v>
      </x:c>
      <x:c r="H859" t="n">
        <x:f>--AND(F859=1,D859='Calculator'!$B$4)</x:f>
        <x:v>0</x:v>
      </x:c>
      <x:c r="I859" t="n">
        <x:f>--AND(H859=1,G859=1)</x:f>
        <x:v>0</x:v>
      </x:c>
      <x:c r="J859" t="n">
        <x:f>--AND(F859=1,E859='Calculator'!$B$4)</x:f>
        <x:v>0</x:v>
      </x:c>
      <x:c r="K859" t="n">
        <x:f>--AND(J859=1,G859=1)</x:f>
        <x:v>0</x:v>
      </x:c>
      <x:c r="L859" t="str">
        <x:f>A859&amp;"/"&amp;B859&amp;"/"&amp;C859</x:f>
        <x:v>14/11/13</x:v>
      </x:c>
      <x:c r="M859" t="str">
        <x:f>MIN(15,A859+'Calculator'!$B$6)&amp;"/"&amp;MIN(15,B859+'Calculator'!$B$6)&amp;"/"&amp;MIN(15,C859+'Calculator'!$B$6)</x:f>
        <x:v>15/13/15</x:v>
      </x:c>
    </x:row>
    <x:row r="860">
      <x:c r="A860" t="n">
        <x:v>14</x:v>
      </x:c>
      <x:c r="B860" t="n">
        <x:v>11</x:v>
      </x:c>
      <x:c r="C860" t="n">
        <x:v>14</x:v>
      </x:c>
      <x:c r="D860" t="n">
        <x:f>MAX(10,ROUNDDOWN((('Calculator'!$B$10+A860)*SQRT('Calculator'!$B$11+B860)*SQRT('Calculator'!$B$12+C860)*0.59740001^2)/10,0))</x:f>
        <x:v>2350</x:v>
      </x:c>
      <x:c r="E860" t="n">
        <x:f>MAX(10,ROUNDDOWN((('Calculator'!$B$10+A860)*SQRT('Calculator'!$B$11+B860)*SQRT('Calculator'!$B$12+C860)*0.667934^2)/10,0))</x:f>
        <x:v>2938</x:v>
      </x:c>
      <x:c r="F860" t="n">
        <x:f>--AND(A860&gt;='Calculator'!$B$5,B860&gt;='Calculator'!$B$5,C860&gt;='Calculator'!$B$5)</x:f>
        <x:v>1</x:v>
      </x:c>
      <x:c r="G860" t="n">
        <x:f>--AND(A860+'Calculator'!$B$6&gt;=15,B860+'Calculator'!$B$6&gt;=15,C860+'Calculator'!$B$6&gt;=15)</x:f>
        <x:v>0</x:v>
      </x:c>
      <x:c r="H860" t="n">
        <x:f>--AND(F860=1,D860='Calculator'!$B$4)</x:f>
        <x:v>0</x:v>
      </x:c>
      <x:c r="I860" t="n">
        <x:f>--AND(H860=1,G860=1)</x:f>
        <x:v>0</x:v>
      </x:c>
      <x:c r="J860" t="n">
        <x:f>--AND(F860=1,E860='Calculator'!$B$4)</x:f>
        <x:v>0</x:v>
      </x:c>
      <x:c r="K860" t="n">
        <x:f>--AND(J860=1,G860=1)</x:f>
        <x:v>0</x:v>
      </x:c>
      <x:c r="L860" t="str">
        <x:f>A860&amp;"/"&amp;B860&amp;"/"&amp;C860</x:f>
        <x:v>14/11/14</x:v>
      </x:c>
      <x:c r="M860" t="str">
        <x:f>MIN(15,A860+'Calculator'!$B$6)&amp;"/"&amp;MIN(15,B860+'Calculator'!$B$6)&amp;"/"&amp;MIN(15,C860+'Calculator'!$B$6)</x:f>
        <x:v>15/13/15</x:v>
      </x:c>
    </x:row>
    <x:row r="861">
      <x:c r="A861" t="n">
        <x:v>14</x:v>
      </x:c>
      <x:c r="B861" t="n">
        <x:v>11</x:v>
      </x:c>
      <x:c r="C861" t="n">
        <x:v>15</x:v>
      </x:c>
      <x:c r="D861" t="n">
        <x:f>MAX(10,ROUNDDOWN((('Calculator'!$B$10+A861)*SQRT('Calculator'!$B$11+B861)*SQRT('Calculator'!$B$12+C861)*0.59740001^2)/10,0))</x:f>
        <x:v>2355</x:v>
      </x:c>
      <x:c r="E861" t="n">
        <x:f>MAX(10,ROUNDDOWN((('Calculator'!$B$10+A861)*SQRT('Calculator'!$B$11+B861)*SQRT('Calculator'!$B$12+C861)*0.667934^2)/10,0))</x:f>
        <x:v>2945</x:v>
      </x:c>
      <x:c r="F861" t="n">
        <x:f>--AND(A861&gt;='Calculator'!$B$5,B861&gt;='Calculator'!$B$5,C861&gt;='Calculator'!$B$5)</x:f>
        <x:v>1</x:v>
      </x:c>
      <x:c r="G861" t="n">
        <x:f>--AND(A861+'Calculator'!$B$6&gt;=15,B861+'Calculator'!$B$6&gt;=15,C861+'Calculator'!$B$6&gt;=15)</x:f>
        <x:v>0</x:v>
      </x:c>
      <x:c r="H861" t="n">
        <x:f>--AND(F861=1,D861='Calculator'!$B$4)</x:f>
        <x:v>0</x:v>
      </x:c>
      <x:c r="I861" t="n">
        <x:f>--AND(H861=1,G861=1)</x:f>
        <x:v>0</x:v>
      </x:c>
      <x:c r="J861" t="n">
        <x:f>--AND(F861=1,E861='Calculator'!$B$4)</x:f>
        <x:v>0</x:v>
      </x:c>
      <x:c r="K861" t="n">
        <x:f>--AND(J861=1,G861=1)</x:f>
        <x:v>0</x:v>
      </x:c>
      <x:c r="L861" t="str">
        <x:f>A861&amp;"/"&amp;B861&amp;"/"&amp;C861</x:f>
        <x:v>14/11/15</x:v>
      </x:c>
      <x:c r="M861" t="str">
        <x:f>MIN(15,A861+'Calculator'!$B$6)&amp;"/"&amp;MIN(15,B861+'Calculator'!$B$6)&amp;"/"&amp;MIN(15,C861+'Calculator'!$B$6)</x:f>
        <x:v>15/13/15</x:v>
      </x:c>
    </x:row>
    <x:row r="862">
      <x:c r="A862" t="n">
        <x:v>14</x:v>
      </x:c>
      <x:c r="B862" t="n">
        <x:v>12</x:v>
      </x:c>
      <x:c r="C862" t="n">
        <x:v>6</x:v>
      </x:c>
      <x:c r="D862" t="n">
        <x:f>MAX(10,ROUNDDOWN((('Calculator'!$B$10+A862)*SQRT('Calculator'!$B$11+B862)*SQRT('Calculator'!$B$12+C862)*0.59740001^2)/10,0))</x:f>
        <x:v>2315</x:v>
      </x:c>
      <x:c r="E862" t="n">
        <x:f>MAX(10,ROUNDDOWN((('Calculator'!$B$10+A862)*SQRT('Calculator'!$B$11+B862)*SQRT('Calculator'!$B$12+C862)*0.667934^2)/10,0))</x:f>
        <x:v>2894</x:v>
      </x:c>
      <x:c r="F862" t="n">
        <x:f>--AND(A862&gt;='Calculator'!$B$5,B862&gt;='Calculator'!$B$5,C862&gt;='Calculator'!$B$5)</x:f>
        <x:v>1</x:v>
      </x:c>
      <x:c r="G862" t="n">
        <x:f>--AND(A862+'Calculator'!$B$6&gt;=15,B862+'Calculator'!$B$6&gt;=15,C862+'Calculator'!$B$6&gt;=15)</x:f>
        <x:v>0</x:v>
      </x:c>
      <x:c r="H862" t="n">
        <x:f>--AND(F862=1,D862='Calculator'!$B$4)</x:f>
        <x:v>0</x:v>
      </x:c>
      <x:c r="I862" t="n">
        <x:f>--AND(H862=1,G862=1)</x:f>
        <x:v>0</x:v>
      </x:c>
      <x:c r="J862" t="n">
        <x:f>--AND(F862=1,E862='Calculator'!$B$4)</x:f>
        <x:v>0</x:v>
      </x:c>
      <x:c r="K862" t="n">
        <x:f>--AND(J862=1,G862=1)</x:f>
        <x:v>0</x:v>
      </x:c>
      <x:c r="L862" t="str">
        <x:f>A862&amp;"/"&amp;B862&amp;"/"&amp;C862</x:f>
        <x:v>14/12/6</x:v>
      </x:c>
      <x:c r="M862" t="str">
        <x:f>MIN(15,A862+'Calculator'!$B$6)&amp;"/"&amp;MIN(15,B862+'Calculator'!$B$6)&amp;"/"&amp;MIN(15,C862+'Calculator'!$B$6)</x:f>
        <x:v>15/14/8</x:v>
      </x:c>
    </x:row>
    <x:row r="863">
      <x:c r="A863" t="n">
        <x:v>14</x:v>
      </x:c>
      <x:c r="B863" t="n">
        <x:v>12</x:v>
      </x:c>
      <x:c r="C863" t="n">
        <x:v>7</x:v>
      </x:c>
      <x:c r="D863" t="n">
        <x:f>MAX(10,ROUNDDOWN((('Calculator'!$B$10+A863)*SQRT('Calculator'!$B$11+B863)*SQRT('Calculator'!$B$12+C863)*0.59740001^2)/10,0))</x:f>
        <x:v>2320</x:v>
      </x:c>
      <x:c r="E863" t="n">
        <x:f>MAX(10,ROUNDDOWN((('Calculator'!$B$10+A863)*SQRT('Calculator'!$B$11+B863)*SQRT('Calculator'!$B$12+C863)*0.667934^2)/10,0))</x:f>
        <x:v>2900</x:v>
      </x:c>
      <x:c r="F863" t="n">
        <x:f>--AND(A863&gt;='Calculator'!$B$5,B863&gt;='Calculator'!$B$5,C863&gt;='Calculator'!$B$5)</x:f>
        <x:v>1</x:v>
      </x:c>
      <x:c r="G863" t="n">
        <x:f>--AND(A863+'Calculator'!$B$6&gt;=15,B863+'Calculator'!$B$6&gt;=15,C863+'Calculator'!$B$6&gt;=15)</x:f>
        <x:v>0</x:v>
      </x:c>
      <x:c r="H863" t="n">
        <x:f>--AND(F863=1,D863='Calculator'!$B$4)</x:f>
        <x:v>0</x:v>
      </x:c>
      <x:c r="I863" t="n">
        <x:f>--AND(H863=1,G863=1)</x:f>
        <x:v>0</x:v>
      </x:c>
      <x:c r="J863" t="n">
        <x:f>--AND(F863=1,E863='Calculator'!$B$4)</x:f>
        <x:v>0</x:v>
      </x:c>
      <x:c r="K863" t="n">
        <x:f>--AND(J863=1,G863=1)</x:f>
        <x:v>0</x:v>
      </x:c>
      <x:c r="L863" t="str">
        <x:f>A863&amp;"/"&amp;B863&amp;"/"&amp;C863</x:f>
        <x:v>14/12/7</x:v>
      </x:c>
      <x:c r="M863" t="str">
        <x:f>MIN(15,A863+'Calculator'!$B$6)&amp;"/"&amp;MIN(15,B863+'Calculator'!$B$6)&amp;"/"&amp;MIN(15,C863+'Calculator'!$B$6)</x:f>
        <x:v>15/14/9</x:v>
      </x:c>
    </x:row>
    <x:row r="864">
      <x:c r="A864" t="n">
        <x:v>14</x:v>
      </x:c>
      <x:c r="B864" t="n">
        <x:v>12</x:v>
      </x:c>
      <x:c r="C864" t="n">
        <x:v>8</x:v>
      </x:c>
      <x:c r="D864" t="n">
        <x:f>MAX(10,ROUNDDOWN((('Calculator'!$B$10+A864)*SQRT('Calculator'!$B$11+B864)*SQRT('Calculator'!$B$12+C864)*0.59740001^2)/10,0))</x:f>
        <x:v>2325</x:v>
      </x:c>
      <x:c r="E864" t="n">
        <x:f>MAX(10,ROUNDDOWN((('Calculator'!$B$10+A864)*SQRT('Calculator'!$B$11+B864)*SQRT('Calculator'!$B$12+C864)*0.667934^2)/10,0))</x:f>
        <x:v>2907</x:v>
      </x:c>
      <x:c r="F864" t="n">
        <x:f>--AND(A864&gt;='Calculator'!$B$5,B864&gt;='Calculator'!$B$5,C864&gt;='Calculator'!$B$5)</x:f>
        <x:v>1</x:v>
      </x:c>
      <x:c r="G864" t="n">
        <x:f>--AND(A864+'Calculator'!$B$6&gt;=15,B864+'Calculator'!$B$6&gt;=15,C864+'Calculator'!$B$6&gt;=15)</x:f>
        <x:v>0</x:v>
      </x:c>
      <x:c r="H864" t="n">
        <x:f>--AND(F864=1,D864='Calculator'!$B$4)</x:f>
        <x:v>0</x:v>
      </x:c>
      <x:c r="I864" t="n">
        <x:f>--AND(H864=1,G864=1)</x:f>
        <x:v>0</x:v>
      </x:c>
      <x:c r="J864" t="n">
        <x:f>--AND(F864=1,E864='Calculator'!$B$4)</x:f>
        <x:v>0</x:v>
      </x:c>
      <x:c r="K864" t="n">
        <x:f>--AND(J864=1,G864=1)</x:f>
        <x:v>0</x:v>
      </x:c>
      <x:c r="L864" t="str">
        <x:f>A864&amp;"/"&amp;B864&amp;"/"&amp;C864</x:f>
        <x:v>14/12/8</x:v>
      </x:c>
      <x:c r="M864" t="str">
        <x:f>MIN(15,A864+'Calculator'!$B$6)&amp;"/"&amp;MIN(15,B864+'Calculator'!$B$6)&amp;"/"&amp;MIN(15,C864+'Calculator'!$B$6)</x:f>
        <x:v>15/14/10</x:v>
      </x:c>
    </x:row>
    <x:row r="865">
      <x:c r="A865" t="n">
        <x:v>14</x:v>
      </x:c>
      <x:c r="B865" t="n">
        <x:v>12</x:v>
      </x:c>
      <x:c r="C865" t="n">
        <x:v>9</x:v>
      </x:c>
      <x:c r="D865" t="n">
        <x:f>MAX(10,ROUNDDOWN((('Calculator'!$B$10+A865)*SQRT('Calculator'!$B$11+B865)*SQRT('Calculator'!$B$12+C865)*0.59740001^2)/10,0))</x:f>
        <x:v>2330</x:v>
      </x:c>
      <x:c r="E865" t="n">
        <x:f>MAX(10,ROUNDDOWN((('Calculator'!$B$10+A865)*SQRT('Calculator'!$B$11+B865)*SQRT('Calculator'!$B$12+C865)*0.667934^2)/10,0))</x:f>
        <x:v>2913</x:v>
      </x:c>
      <x:c r="F865" t="n">
        <x:f>--AND(A865&gt;='Calculator'!$B$5,B865&gt;='Calculator'!$B$5,C865&gt;='Calculator'!$B$5)</x:f>
        <x:v>1</x:v>
      </x:c>
      <x:c r="G865" t="n">
        <x:f>--AND(A865+'Calculator'!$B$6&gt;=15,B865+'Calculator'!$B$6&gt;=15,C865+'Calculator'!$B$6&gt;=15)</x:f>
        <x:v>0</x:v>
      </x:c>
      <x:c r="H865" t="n">
        <x:f>--AND(F865=1,D865='Calculator'!$B$4)</x:f>
        <x:v>0</x:v>
      </x:c>
      <x:c r="I865" t="n">
        <x:f>--AND(H865=1,G865=1)</x:f>
        <x:v>0</x:v>
      </x:c>
      <x:c r="J865" t="n">
        <x:f>--AND(F865=1,E865='Calculator'!$B$4)</x:f>
        <x:v>0</x:v>
      </x:c>
      <x:c r="K865" t="n">
        <x:f>--AND(J865=1,G865=1)</x:f>
        <x:v>0</x:v>
      </x:c>
      <x:c r="L865" t="str">
        <x:f>A865&amp;"/"&amp;B865&amp;"/"&amp;C865</x:f>
        <x:v>14/12/9</x:v>
      </x:c>
      <x:c r="M865" t="str">
        <x:f>MIN(15,A865+'Calculator'!$B$6)&amp;"/"&amp;MIN(15,B865+'Calculator'!$B$6)&amp;"/"&amp;MIN(15,C865+'Calculator'!$B$6)</x:f>
        <x:v>15/14/11</x:v>
      </x:c>
    </x:row>
    <x:row r="866">
      <x:c r="A866" t="n">
        <x:v>14</x:v>
      </x:c>
      <x:c r="B866" t="n">
        <x:v>12</x:v>
      </x:c>
      <x:c r="C866" t="n">
        <x:v>10</x:v>
      </x:c>
      <x:c r="D866" t="n">
        <x:f>MAX(10,ROUNDDOWN((('Calculator'!$B$10+A866)*SQRT('Calculator'!$B$11+B866)*SQRT('Calculator'!$B$12+C866)*0.59740001^2)/10,0))</x:f>
        <x:v>2336</x:v>
      </x:c>
      <x:c r="E866" t="n">
        <x:f>MAX(10,ROUNDDOWN((('Calculator'!$B$10+A866)*SQRT('Calculator'!$B$11+B866)*SQRT('Calculator'!$B$12+C866)*0.667934^2)/10,0))</x:f>
        <x:v>2920</x:v>
      </x:c>
      <x:c r="F866" t="n">
        <x:f>--AND(A866&gt;='Calculator'!$B$5,B866&gt;='Calculator'!$B$5,C866&gt;='Calculator'!$B$5)</x:f>
        <x:v>1</x:v>
      </x:c>
      <x:c r="G866" t="n">
        <x:f>--AND(A866+'Calculator'!$B$6&gt;=15,B866+'Calculator'!$B$6&gt;=15,C866+'Calculator'!$B$6&gt;=15)</x:f>
        <x:v>0</x:v>
      </x:c>
      <x:c r="H866" t="n">
        <x:f>--AND(F866=1,D866='Calculator'!$B$4)</x:f>
        <x:v>0</x:v>
      </x:c>
      <x:c r="I866" t="n">
        <x:f>--AND(H866=1,G866=1)</x:f>
        <x:v>0</x:v>
      </x:c>
      <x:c r="J866" t="n">
        <x:f>--AND(F866=1,E866='Calculator'!$B$4)</x:f>
        <x:v>0</x:v>
      </x:c>
      <x:c r="K866" t="n">
        <x:f>--AND(J866=1,G866=1)</x:f>
        <x:v>0</x:v>
      </x:c>
      <x:c r="L866" t="str">
        <x:f>A866&amp;"/"&amp;B866&amp;"/"&amp;C866</x:f>
        <x:v>14/12/10</x:v>
      </x:c>
      <x:c r="M866" t="str">
        <x:f>MIN(15,A866+'Calculator'!$B$6)&amp;"/"&amp;MIN(15,B866+'Calculator'!$B$6)&amp;"/"&amp;MIN(15,C866+'Calculator'!$B$6)</x:f>
        <x:v>15/14/12</x:v>
      </x:c>
    </x:row>
    <x:row r="867">
      <x:c r="A867" t="n">
        <x:v>14</x:v>
      </x:c>
      <x:c r="B867" t="n">
        <x:v>12</x:v>
      </x:c>
      <x:c r="C867" t="n">
        <x:v>11</x:v>
      </x:c>
      <x:c r="D867" t="n">
        <x:f>MAX(10,ROUNDDOWN((('Calculator'!$B$10+A867)*SQRT('Calculator'!$B$11+B867)*SQRT('Calculator'!$B$12+C867)*0.59740001^2)/10,0))</x:f>
        <x:v>2341</x:v>
      </x:c>
      <x:c r="E867" t="n">
        <x:f>MAX(10,ROUNDDOWN((('Calculator'!$B$10+A867)*SQRT('Calculator'!$B$11+B867)*SQRT('Calculator'!$B$12+C867)*0.667934^2)/10,0))</x:f>
        <x:v>2926</x:v>
      </x:c>
      <x:c r="F867" t="n">
        <x:f>--AND(A867&gt;='Calculator'!$B$5,B867&gt;='Calculator'!$B$5,C867&gt;='Calculator'!$B$5)</x:f>
        <x:v>1</x:v>
      </x:c>
      <x:c r="G867" t="n">
        <x:f>--AND(A867+'Calculator'!$B$6&gt;=15,B867+'Calculator'!$B$6&gt;=15,C867+'Calculator'!$B$6&gt;=15)</x:f>
        <x:v>0</x:v>
      </x:c>
      <x:c r="H867" t="n">
        <x:f>--AND(F867=1,D867='Calculator'!$B$4)</x:f>
        <x:v>0</x:v>
      </x:c>
      <x:c r="I867" t="n">
        <x:f>--AND(H867=1,G867=1)</x:f>
        <x:v>0</x:v>
      </x:c>
      <x:c r="J867" t="n">
        <x:f>--AND(F867=1,E867='Calculator'!$B$4)</x:f>
        <x:v>0</x:v>
      </x:c>
      <x:c r="K867" t="n">
        <x:f>--AND(J867=1,G867=1)</x:f>
        <x:v>0</x:v>
      </x:c>
      <x:c r="L867" t="str">
        <x:f>A867&amp;"/"&amp;B867&amp;"/"&amp;C867</x:f>
        <x:v>14/12/11</x:v>
      </x:c>
      <x:c r="M867" t="str">
        <x:f>MIN(15,A867+'Calculator'!$B$6)&amp;"/"&amp;MIN(15,B867+'Calculator'!$B$6)&amp;"/"&amp;MIN(15,C867+'Calculator'!$B$6)</x:f>
        <x:v>15/14/13</x:v>
      </x:c>
    </x:row>
    <x:row r="868">
      <x:c r="A868" t="n">
        <x:v>14</x:v>
      </x:c>
      <x:c r="B868" t="n">
        <x:v>12</x:v>
      </x:c>
      <x:c r="C868" t="n">
        <x:v>12</x:v>
      </x:c>
      <x:c r="D868" t="n">
        <x:f>MAX(10,ROUNDDOWN((('Calculator'!$B$10+A868)*SQRT('Calculator'!$B$11+B868)*SQRT('Calculator'!$B$12+C868)*0.59740001^2)/10,0))</x:f>
        <x:v>2346</x:v>
      </x:c>
      <x:c r="E868" t="n">
        <x:f>MAX(10,ROUNDDOWN((('Calculator'!$B$10+A868)*SQRT('Calculator'!$B$11+B868)*SQRT('Calculator'!$B$12+C868)*0.667934^2)/10,0))</x:f>
        <x:v>2933</x:v>
      </x:c>
      <x:c r="F868" t="n">
        <x:f>--AND(A868&gt;='Calculator'!$B$5,B868&gt;='Calculator'!$B$5,C868&gt;='Calculator'!$B$5)</x:f>
        <x:v>1</x:v>
      </x:c>
      <x:c r="G868" t="n">
        <x:f>--AND(A868+'Calculator'!$B$6&gt;=15,B868+'Calculator'!$B$6&gt;=15,C868+'Calculator'!$B$6&gt;=15)</x:f>
        <x:v>0</x:v>
      </x:c>
      <x:c r="H868" t="n">
        <x:f>--AND(F868=1,D868='Calculator'!$B$4)</x:f>
        <x:v>0</x:v>
      </x:c>
      <x:c r="I868" t="n">
        <x:f>--AND(H868=1,G868=1)</x:f>
        <x:v>0</x:v>
      </x:c>
      <x:c r="J868" t="n">
        <x:f>--AND(F868=1,E868='Calculator'!$B$4)</x:f>
        <x:v>0</x:v>
      </x:c>
      <x:c r="K868" t="n">
        <x:f>--AND(J868=1,G868=1)</x:f>
        <x:v>0</x:v>
      </x:c>
      <x:c r="L868" t="str">
        <x:f>A868&amp;"/"&amp;B868&amp;"/"&amp;C868</x:f>
        <x:v>14/12/12</x:v>
      </x:c>
      <x:c r="M868" t="str">
        <x:f>MIN(15,A868+'Calculator'!$B$6)&amp;"/"&amp;MIN(15,B868+'Calculator'!$B$6)&amp;"/"&amp;MIN(15,C868+'Calculator'!$B$6)</x:f>
        <x:v>15/14/14</x:v>
      </x:c>
    </x:row>
    <x:row r="869">
      <x:c r="A869" t="n">
        <x:v>14</x:v>
      </x:c>
      <x:c r="B869" t="n">
        <x:v>12</x:v>
      </x:c>
      <x:c r="C869" t="n">
        <x:v>13</x:v>
      </x:c>
      <x:c r="D869" t="n">
        <x:f>MAX(10,ROUNDDOWN((('Calculator'!$B$10+A869)*SQRT('Calculator'!$B$11+B869)*SQRT('Calculator'!$B$12+C869)*0.59740001^2)/10,0))</x:f>
        <x:v>2351</x:v>
      </x:c>
      <x:c r="E869" t="n">
        <x:f>MAX(10,ROUNDDOWN((('Calculator'!$B$10+A869)*SQRT('Calculator'!$B$11+B869)*SQRT('Calculator'!$B$12+C869)*0.667934^2)/10,0))</x:f>
        <x:v>2939</x:v>
      </x:c>
      <x:c r="F869" t="n">
        <x:f>--AND(A869&gt;='Calculator'!$B$5,B869&gt;='Calculator'!$B$5,C869&gt;='Calculator'!$B$5)</x:f>
        <x:v>1</x:v>
      </x:c>
      <x:c r="G869" t="n">
        <x:f>--AND(A869+'Calculator'!$B$6&gt;=15,B869+'Calculator'!$B$6&gt;=15,C869+'Calculator'!$B$6&gt;=15)</x:f>
        <x:v>0</x:v>
      </x:c>
      <x:c r="H869" t="n">
        <x:f>--AND(F869=1,D869='Calculator'!$B$4)</x:f>
        <x:v>0</x:v>
      </x:c>
      <x:c r="I869" t="n">
        <x:f>--AND(H869=1,G869=1)</x:f>
        <x:v>0</x:v>
      </x:c>
      <x:c r="J869" t="n">
        <x:f>--AND(F869=1,E869='Calculator'!$B$4)</x:f>
        <x:v>0</x:v>
      </x:c>
      <x:c r="K869" t="n">
        <x:f>--AND(J869=1,G869=1)</x:f>
        <x:v>0</x:v>
      </x:c>
      <x:c r="L869" t="str">
        <x:f>A869&amp;"/"&amp;B869&amp;"/"&amp;C869</x:f>
        <x:v>14/12/13</x:v>
      </x:c>
      <x:c r="M869" t="str">
        <x:f>MIN(15,A869+'Calculator'!$B$6)&amp;"/"&amp;MIN(15,B869+'Calculator'!$B$6)&amp;"/"&amp;MIN(15,C869+'Calculator'!$B$6)</x:f>
        <x:v>15/14/15</x:v>
      </x:c>
    </x:row>
    <x:row r="870">
      <x:c r="A870" t="n">
        <x:v>14</x:v>
      </x:c>
      <x:c r="B870" t="n">
        <x:v>12</x:v>
      </x:c>
      <x:c r="C870" t="n">
        <x:v>14</x:v>
      </x:c>
      <x:c r="D870" t="n">
        <x:f>MAX(10,ROUNDDOWN((('Calculator'!$B$10+A870)*SQRT('Calculator'!$B$11+B870)*SQRT('Calculator'!$B$12+C870)*0.59740001^2)/10,0))</x:f>
        <x:v>2356</x:v>
      </x:c>
      <x:c r="E870" t="n">
        <x:f>MAX(10,ROUNDDOWN((('Calculator'!$B$10+A870)*SQRT('Calculator'!$B$11+B870)*SQRT('Calculator'!$B$12+C870)*0.667934^2)/10,0))</x:f>
        <x:v>2946</x:v>
      </x:c>
      <x:c r="F870" t="n">
        <x:f>--AND(A870&gt;='Calculator'!$B$5,B870&gt;='Calculator'!$B$5,C870&gt;='Calculator'!$B$5)</x:f>
        <x:v>1</x:v>
      </x:c>
      <x:c r="G870" t="n">
        <x:f>--AND(A870+'Calculator'!$B$6&gt;=15,B870+'Calculator'!$B$6&gt;=15,C870+'Calculator'!$B$6&gt;=15)</x:f>
        <x:v>0</x:v>
      </x:c>
      <x:c r="H870" t="n">
        <x:f>--AND(F870=1,D870='Calculator'!$B$4)</x:f>
        <x:v>0</x:v>
      </x:c>
      <x:c r="I870" t="n">
        <x:f>--AND(H870=1,G870=1)</x:f>
        <x:v>0</x:v>
      </x:c>
      <x:c r="J870" t="n">
        <x:f>--AND(F870=1,E870='Calculator'!$B$4)</x:f>
        <x:v>0</x:v>
      </x:c>
      <x:c r="K870" t="n">
        <x:f>--AND(J870=1,G870=1)</x:f>
        <x:v>0</x:v>
      </x:c>
      <x:c r="L870" t="str">
        <x:f>A870&amp;"/"&amp;B870&amp;"/"&amp;C870</x:f>
        <x:v>14/12/14</x:v>
      </x:c>
      <x:c r="M870" t="str">
        <x:f>MIN(15,A870+'Calculator'!$B$6)&amp;"/"&amp;MIN(15,B870+'Calculator'!$B$6)&amp;"/"&amp;MIN(15,C870+'Calculator'!$B$6)</x:f>
        <x:v>15/14/15</x:v>
      </x:c>
    </x:row>
    <x:row r="871">
      <x:c r="A871" t="n">
        <x:v>14</x:v>
      </x:c>
      <x:c r="B871" t="n">
        <x:v>12</x:v>
      </x:c>
      <x:c r="C871" t="n">
        <x:v>15</x:v>
      </x:c>
      <x:c r="D871" t="n">
        <x:f>MAX(10,ROUNDDOWN((('Calculator'!$B$10+A871)*SQRT('Calculator'!$B$11+B871)*SQRT('Calculator'!$B$12+C871)*0.59740001^2)/10,0))</x:f>
        <x:v>2361</x:v>
      </x:c>
      <x:c r="E871" t="n">
        <x:f>MAX(10,ROUNDDOWN((('Calculator'!$B$10+A871)*SQRT('Calculator'!$B$11+B871)*SQRT('Calculator'!$B$12+C871)*0.667934^2)/10,0))</x:f>
        <x:v>2952</x:v>
      </x:c>
      <x:c r="F871" t="n">
        <x:f>--AND(A871&gt;='Calculator'!$B$5,B871&gt;='Calculator'!$B$5,C871&gt;='Calculator'!$B$5)</x:f>
        <x:v>1</x:v>
      </x:c>
      <x:c r="G871" t="n">
        <x:f>--AND(A871+'Calculator'!$B$6&gt;=15,B871+'Calculator'!$B$6&gt;=15,C871+'Calculator'!$B$6&gt;=15)</x:f>
        <x:v>0</x:v>
      </x:c>
      <x:c r="H871" t="n">
        <x:f>--AND(F871=1,D871='Calculator'!$B$4)</x:f>
        <x:v>0</x:v>
      </x:c>
      <x:c r="I871" t="n">
        <x:f>--AND(H871=1,G871=1)</x:f>
        <x:v>0</x:v>
      </x:c>
      <x:c r="J871" t="n">
        <x:f>--AND(F871=1,E871='Calculator'!$B$4)</x:f>
        <x:v>0</x:v>
      </x:c>
      <x:c r="K871" t="n">
        <x:f>--AND(J871=1,G871=1)</x:f>
        <x:v>0</x:v>
      </x:c>
      <x:c r="L871" t="str">
        <x:f>A871&amp;"/"&amp;B871&amp;"/"&amp;C871</x:f>
        <x:v>14/12/15</x:v>
      </x:c>
      <x:c r="M871" t="str">
        <x:f>MIN(15,A871+'Calculator'!$B$6)&amp;"/"&amp;MIN(15,B871+'Calculator'!$B$6)&amp;"/"&amp;MIN(15,C871+'Calculator'!$B$6)</x:f>
        <x:v>15/14/15</x:v>
      </x:c>
    </x:row>
    <x:row r="872">
      <x:c r="A872" t="n">
        <x:v>14</x:v>
      </x:c>
      <x:c r="B872" t="n">
        <x:v>13</x:v>
      </x:c>
      <x:c r="C872" t="n">
        <x:v>6</x:v>
      </x:c>
      <x:c r="D872" t="n">
        <x:f>MAX(10,ROUNDDOWN((('Calculator'!$B$10+A872)*SQRT('Calculator'!$B$11+B872)*SQRT('Calculator'!$B$12+C872)*0.59740001^2)/10,0))</x:f>
        <x:v>2321</x:v>
      </x:c>
      <x:c r="E872" t="n">
        <x:f>MAX(10,ROUNDDOWN((('Calculator'!$B$10+A872)*SQRT('Calculator'!$B$11+B872)*SQRT('Calculator'!$B$12+C872)*0.667934^2)/10,0))</x:f>
        <x:v>2901</x:v>
      </x:c>
      <x:c r="F872" t="n">
        <x:f>--AND(A872&gt;='Calculator'!$B$5,B872&gt;='Calculator'!$B$5,C872&gt;='Calculator'!$B$5)</x:f>
        <x:v>1</x:v>
      </x:c>
      <x:c r="G872" t="n">
        <x:f>--AND(A872+'Calculator'!$B$6&gt;=15,B872+'Calculator'!$B$6&gt;=15,C872+'Calculator'!$B$6&gt;=15)</x:f>
        <x:v>0</x:v>
      </x:c>
      <x:c r="H872" t="n">
        <x:f>--AND(F872=1,D872='Calculator'!$B$4)</x:f>
        <x:v>0</x:v>
      </x:c>
      <x:c r="I872" t="n">
        <x:f>--AND(H872=1,G872=1)</x:f>
        <x:v>0</x:v>
      </x:c>
      <x:c r="J872" t="n">
        <x:f>--AND(F872=1,E872='Calculator'!$B$4)</x:f>
        <x:v>0</x:v>
      </x:c>
      <x:c r="K872" t="n">
        <x:f>--AND(J872=1,G872=1)</x:f>
        <x:v>0</x:v>
      </x:c>
      <x:c r="L872" t="str">
        <x:f>A872&amp;"/"&amp;B872&amp;"/"&amp;C872</x:f>
        <x:v>14/13/6</x:v>
      </x:c>
      <x:c r="M872" t="str">
        <x:f>MIN(15,A872+'Calculator'!$B$6)&amp;"/"&amp;MIN(15,B872+'Calculator'!$B$6)&amp;"/"&amp;MIN(15,C872+'Calculator'!$B$6)</x:f>
        <x:v>15/15/8</x:v>
      </x:c>
    </x:row>
    <x:row r="873">
      <x:c r="A873" t="n">
        <x:v>14</x:v>
      </x:c>
      <x:c r="B873" t="n">
        <x:v>13</x:v>
      </x:c>
      <x:c r="C873" t="n">
        <x:v>7</x:v>
      </x:c>
      <x:c r="D873" t="n">
        <x:f>MAX(10,ROUNDDOWN((('Calculator'!$B$10+A873)*SQRT('Calculator'!$B$11+B873)*SQRT('Calculator'!$B$12+C873)*0.59740001^2)/10,0))</x:f>
        <x:v>2326</x:v>
      </x:c>
      <x:c r="E873" t="n">
        <x:f>MAX(10,ROUNDDOWN((('Calculator'!$B$10+A873)*SQRT('Calculator'!$B$11+B873)*SQRT('Calculator'!$B$12+C873)*0.667934^2)/10,0))</x:f>
        <x:v>2908</x:v>
      </x:c>
      <x:c r="F873" t="n">
        <x:f>--AND(A873&gt;='Calculator'!$B$5,B873&gt;='Calculator'!$B$5,C873&gt;='Calculator'!$B$5)</x:f>
        <x:v>1</x:v>
      </x:c>
      <x:c r="G873" t="n">
        <x:f>--AND(A873+'Calculator'!$B$6&gt;=15,B873+'Calculator'!$B$6&gt;=15,C873+'Calculator'!$B$6&gt;=15)</x:f>
        <x:v>0</x:v>
      </x:c>
      <x:c r="H873" t="n">
        <x:f>--AND(F873=1,D873='Calculator'!$B$4)</x:f>
        <x:v>0</x:v>
      </x:c>
      <x:c r="I873" t="n">
        <x:f>--AND(H873=1,G873=1)</x:f>
        <x:v>0</x:v>
      </x:c>
      <x:c r="J873" t="n">
        <x:f>--AND(F873=1,E873='Calculator'!$B$4)</x:f>
        <x:v>0</x:v>
      </x:c>
      <x:c r="K873" t="n">
        <x:f>--AND(J873=1,G873=1)</x:f>
        <x:v>0</x:v>
      </x:c>
      <x:c r="L873" t="str">
        <x:f>A873&amp;"/"&amp;B873&amp;"/"&amp;C873</x:f>
        <x:v>14/13/7</x:v>
      </x:c>
      <x:c r="M873" t="str">
        <x:f>MIN(15,A873+'Calculator'!$B$6)&amp;"/"&amp;MIN(15,B873+'Calculator'!$B$6)&amp;"/"&amp;MIN(15,C873+'Calculator'!$B$6)</x:f>
        <x:v>15/15/9</x:v>
      </x:c>
    </x:row>
    <x:row r="874">
      <x:c r="A874" t="n">
        <x:v>14</x:v>
      </x:c>
      <x:c r="B874" t="n">
        <x:v>13</x:v>
      </x:c>
      <x:c r="C874" t="n">
        <x:v>8</x:v>
      </x:c>
      <x:c r="D874" t="n">
        <x:f>MAX(10,ROUNDDOWN((('Calculator'!$B$10+A874)*SQRT('Calculator'!$B$11+B874)*SQRT('Calculator'!$B$12+C874)*0.59740001^2)/10,0))</x:f>
        <x:v>2331</x:v>
      </x:c>
      <x:c r="E874" t="n">
        <x:f>MAX(10,ROUNDDOWN((('Calculator'!$B$10+A874)*SQRT('Calculator'!$B$11+B874)*SQRT('Calculator'!$B$12+C874)*0.667934^2)/10,0))</x:f>
        <x:v>2914</x:v>
      </x:c>
      <x:c r="F874" t="n">
        <x:f>--AND(A874&gt;='Calculator'!$B$5,B874&gt;='Calculator'!$B$5,C874&gt;='Calculator'!$B$5)</x:f>
        <x:v>1</x:v>
      </x:c>
      <x:c r="G874" t="n">
        <x:f>--AND(A874+'Calculator'!$B$6&gt;=15,B874+'Calculator'!$B$6&gt;=15,C874+'Calculator'!$B$6&gt;=15)</x:f>
        <x:v>0</x:v>
      </x:c>
      <x:c r="H874" t="n">
        <x:f>--AND(F874=1,D874='Calculator'!$B$4)</x:f>
        <x:v>0</x:v>
      </x:c>
      <x:c r="I874" t="n">
        <x:f>--AND(H874=1,G874=1)</x:f>
        <x:v>0</x:v>
      </x:c>
      <x:c r="J874" t="n">
        <x:f>--AND(F874=1,E874='Calculator'!$B$4)</x:f>
        <x:v>0</x:v>
      </x:c>
      <x:c r="K874" t="n">
        <x:f>--AND(J874=1,G874=1)</x:f>
        <x:v>0</x:v>
      </x:c>
      <x:c r="L874" t="str">
        <x:f>A874&amp;"/"&amp;B874&amp;"/"&amp;C874</x:f>
        <x:v>14/13/8</x:v>
      </x:c>
      <x:c r="M874" t="str">
        <x:f>MIN(15,A874+'Calculator'!$B$6)&amp;"/"&amp;MIN(15,B874+'Calculator'!$B$6)&amp;"/"&amp;MIN(15,C874+'Calculator'!$B$6)</x:f>
        <x:v>15/15/10</x:v>
      </x:c>
    </x:row>
    <x:row r="875">
      <x:c r="A875" t="n">
        <x:v>14</x:v>
      </x:c>
      <x:c r="B875" t="n">
        <x:v>13</x:v>
      </x:c>
      <x:c r="C875" t="n">
        <x:v>9</x:v>
      </x:c>
      <x:c r="D875" t="n">
        <x:f>MAX(10,ROUNDDOWN((('Calculator'!$B$10+A875)*SQRT('Calculator'!$B$11+B875)*SQRT('Calculator'!$B$12+C875)*0.59740001^2)/10,0))</x:f>
        <x:v>2336</x:v>
      </x:c>
      <x:c r="E875" t="n">
        <x:f>MAX(10,ROUNDDOWN((('Calculator'!$B$10+A875)*SQRT('Calculator'!$B$11+B875)*SQRT('Calculator'!$B$12+C875)*0.667934^2)/10,0))</x:f>
        <x:v>2921</x:v>
      </x:c>
      <x:c r="F875" t="n">
        <x:f>--AND(A875&gt;='Calculator'!$B$5,B875&gt;='Calculator'!$B$5,C875&gt;='Calculator'!$B$5)</x:f>
        <x:v>1</x:v>
      </x:c>
      <x:c r="G875" t="n">
        <x:f>--AND(A875+'Calculator'!$B$6&gt;=15,B875+'Calculator'!$B$6&gt;=15,C875+'Calculator'!$B$6&gt;=15)</x:f>
        <x:v>0</x:v>
      </x:c>
      <x:c r="H875" t="n">
        <x:f>--AND(F875=1,D875='Calculator'!$B$4)</x:f>
        <x:v>0</x:v>
      </x:c>
      <x:c r="I875" t="n">
        <x:f>--AND(H875=1,G875=1)</x:f>
        <x:v>0</x:v>
      </x:c>
      <x:c r="J875" t="n">
        <x:f>--AND(F875=1,E875='Calculator'!$B$4)</x:f>
        <x:v>0</x:v>
      </x:c>
      <x:c r="K875" t="n">
        <x:f>--AND(J875=1,G875=1)</x:f>
        <x:v>0</x:v>
      </x:c>
      <x:c r="L875" t="str">
        <x:f>A875&amp;"/"&amp;B875&amp;"/"&amp;C875</x:f>
        <x:v>14/13/9</x:v>
      </x:c>
      <x:c r="M875" t="str">
        <x:f>MIN(15,A875+'Calculator'!$B$6)&amp;"/"&amp;MIN(15,B875+'Calculator'!$B$6)&amp;"/"&amp;MIN(15,C875+'Calculator'!$B$6)</x:f>
        <x:v>15/15/11</x:v>
      </x:c>
    </x:row>
    <x:row r="876">
      <x:c r="A876" t="n">
        <x:v>14</x:v>
      </x:c>
      <x:c r="B876" t="n">
        <x:v>13</x:v>
      </x:c>
      <x:c r="C876" t="n">
        <x:v>10</x:v>
      </x:c>
      <x:c r="D876" t="n">
        <x:f>MAX(10,ROUNDDOWN((('Calculator'!$B$10+A876)*SQRT('Calculator'!$B$11+B876)*SQRT('Calculator'!$B$12+C876)*0.59740001^2)/10,0))</x:f>
        <x:v>2342</x:v>
      </x:c>
      <x:c r="E876" t="n">
        <x:f>MAX(10,ROUNDDOWN((('Calculator'!$B$10+A876)*SQRT('Calculator'!$B$11+B876)*SQRT('Calculator'!$B$12+C876)*0.667934^2)/10,0))</x:f>
        <x:v>2927</x:v>
      </x:c>
      <x:c r="F876" t="n">
        <x:f>--AND(A876&gt;='Calculator'!$B$5,B876&gt;='Calculator'!$B$5,C876&gt;='Calculator'!$B$5)</x:f>
        <x:v>1</x:v>
      </x:c>
      <x:c r="G876" t="n">
        <x:f>--AND(A876+'Calculator'!$B$6&gt;=15,B876+'Calculator'!$B$6&gt;=15,C876+'Calculator'!$B$6&gt;=15)</x:f>
        <x:v>0</x:v>
      </x:c>
      <x:c r="H876" t="n">
        <x:f>--AND(F876=1,D876='Calculator'!$B$4)</x:f>
        <x:v>0</x:v>
      </x:c>
      <x:c r="I876" t="n">
        <x:f>--AND(H876=1,G876=1)</x:f>
        <x:v>0</x:v>
      </x:c>
      <x:c r="J876" t="n">
        <x:f>--AND(F876=1,E876='Calculator'!$B$4)</x:f>
        <x:v>0</x:v>
      </x:c>
      <x:c r="K876" t="n">
        <x:f>--AND(J876=1,G876=1)</x:f>
        <x:v>0</x:v>
      </x:c>
      <x:c r="L876" t="str">
        <x:f>A876&amp;"/"&amp;B876&amp;"/"&amp;C876</x:f>
        <x:v>14/13/10</x:v>
      </x:c>
      <x:c r="M876" t="str">
        <x:f>MIN(15,A876+'Calculator'!$B$6)&amp;"/"&amp;MIN(15,B876+'Calculator'!$B$6)&amp;"/"&amp;MIN(15,C876+'Calculator'!$B$6)</x:f>
        <x:v>15/15/12</x:v>
      </x:c>
    </x:row>
    <x:row r="877">
      <x:c r="A877" t="n">
        <x:v>14</x:v>
      </x:c>
      <x:c r="B877" t="n">
        <x:v>13</x:v>
      </x:c>
      <x:c r="C877" t="n">
        <x:v>11</x:v>
      </x:c>
      <x:c r="D877" t="n">
        <x:f>MAX(10,ROUNDDOWN((('Calculator'!$B$10+A877)*SQRT('Calculator'!$B$11+B877)*SQRT('Calculator'!$B$12+C877)*0.59740001^2)/10,0))</x:f>
        <x:v>2347</x:v>
      </x:c>
      <x:c r="E877" t="n">
        <x:f>MAX(10,ROUNDDOWN((('Calculator'!$B$10+A877)*SQRT('Calculator'!$B$11+B877)*SQRT('Calculator'!$B$12+C877)*0.667934^2)/10,0))</x:f>
        <x:v>2934</x:v>
      </x:c>
      <x:c r="F877" t="n">
        <x:f>--AND(A877&gt;='Calculator'!$B$5,B877&gt;='Calculator'!$B$5,C877&gt;='Calculator'!$B$5)</x:f>
        <x:v>1</x:v>
      </x:c>
      <x:c r="G877" t="n">
        <x:f>--AND(A877+'Calculator'!$B$6&gt;=15,B877+'Calculator'!$B$6&gt;=15,C877+'Calculator'!$B$6&gt;=15)</x:f>
        <x:v>0</x:v>
      </x:c>
      <x:c r="H877" t="n">
        <x:f>--AND(F877=1,D877='Calculator'!$B$4)</x:f>
        <x:v>0</x:v>
      </x:c>
      <x:c r="I877" t="n">
        <x:f>--AND(H877=1,G877=1)</x:f>
        <x:v>0</x:v>
      </x:c>
      <x:c r="J877" t="n">
        <x:f>--AND(F877=1,E877='Calculator'!$B$4)</x:f>
        <x:v>0</x:v>
      </x:c>
      <x:c r="K877" t="n">
        <x:f>--AND(J877=1,G877=1)</x:f>
        <x:v>0</x:v>
      </x:c>
      <x:c r="L877" t="str">
        <x:f>A877&amp;"/"&amp;B877&amp;"/"&amp;C877</x:f>
        <x:v>14/13/11</x:v>
      </x:c>
      <x:c r="M877" t="str">
        <x:f>MIN(15,A877+'Calculator'!$B$6)&amp;"/"&amp;MIN(15,B877+'Calculator'!$B$6)&amp;"/"&amp;MIN(15,C877+'Calculator'!$B$6)</x:f>
        <x:v>15/15/13</x:v>
      </x:c>
    </x:row>
    <x:row r="878">
      <x:c r="A878" t="n">
        <x:v>14</x:v>
      </x:c>
      <x:c r="B878" t="n">
        <x:v>13</x:v>
      </x:c>
      <x:c r="C878" t="n">
        <x:v>12</x:v>
      </x:c>
      <x:c r="D878" t="n">
        <x:f>MAX(10,ROUNDDOWN((('Calculator'!$B$10+A878)*SQRT('Calculator'!$B$11+B878)*SQRT('Calculator'!$B$12+C878)*0.59740001^2)/10,0))</x:f>
        <x:v>2352</x:v>
      </x:c>
      <x:c r="E878" t="n">
        <x:f>MAX(10,ROUNDDOWN((('Calculator'!$B$10+A878)*SQRT('Calculator'!$B$11+B878)*SQRT('Calculator'!$B$12+C878)*0.667934^2)/10,0))</x:f>
        <x:v>2940</x:v>
      </x:c>
      <x:c r="F878" t="n">
        <x:f>--AND(A878&gt;='Calculator'!$B$5,B878&gt;='Calculator'!$B$5,C878&gt;='Calculator'!$B$5)</x:f>
        <x:v>1</x:v>
      </x:c>
      <x:c r="G878" t="n">
        <x:f>--AND(A878+'Calculator'!$B$6&gt;=15,B878+'Calculator'!$B$6&gt;=15,C878+'Calculator'!$B$6&gt;=15)</x:f>
        <x:v>0</x:v>
      </x:c>
      <x:c r="H878" t="n">
        <x:f>--AND(F878=1,D878='Calculator'!$B$4)</x:f>
        <x:v>0</x:v>
      </x:c>
      <x:c r="I878" t="n">
        <x:f>--AND(H878=1,G878=1)</x:f>
        <x:v>0</x:v>
      </x:c>
      <x:c r="J878" t="n">
        <x:f>--AND(F878=1,E878='Calculator'!$B$4)</x:f>
        <x:v>0</x:v>
      </x:c>
      <x:c r="K878" t="n">
        <x:f>--AND(J878=1,G878=1)</x:f>
        <x:v>0</x:v>
      </x:c>
      <x:c r="L878" t="str">
        <x:f>A878&amp;"/"&amp;B878&amp;"/"&amp;C878</x:f>
        <x:v>14/13/12</x:v>
      </x:c>
      <x:c r="M878" t="str">
        <x:f>MIN(15,A878+'Calculator'!$B$6)&amp;"/"&amp;MIN(15,B878+'Calculator'!$B$6)&amp;"/"&amp;MIN(15,C878+'Calculator'!$B$6)</x:f>
        <x:v>15/15/14</x:v>
      </x:c>
    </x:row>
    <x:row r="879">
      <x:c r="A879" t="n">
        <x:v>14</x:v>
      </x:c>
      <x:c r="B879" t="n">
        <x:v>13</x:v>
      </x:c>
      <x:c r="C879" t="n">
        <x:v>13</x:v>
      </x:c>
      <x:c r="D879" t="n">
        <x:f>MAX(10,ROUNDDOWN((('Calculator'!$B$10+A879)*SQRT('Calculator'!$B$11+B879)*SQRT('Calculator'!$B$12+C879)*0.59740001^2)/10,0))</x:f>
        <x:v>2357</x:v>
      </x:c>
      <x:c r="E879" t="n">
        <x:f>MAX(10,ROUNDDOWN((('Calculator'!$B$10+A879)*SQRT('Calculator'!$B$11+B879)*SQRT('Calculator'!$B$12+C879)*0.667934^2)/10,0))</x:f>
        <x:v>2947</x:v>
      </x:c>
      <x:c r="F879" t="n">
        <x:f>--AND(A879&gt;='Calculator'!$B$5,B879&gt;='Calculator'!$B$5,C879&gt;='Calculator'!$B$5)</x:f>
        <x:v>1</x:v>
      </x:c>
      <x:c r="G879" t="n">
        <x:f>--AND(A879+'Calculator'!$B$6&gt;=15,B879+'Calculator'!$B$6&gt;=15,C879+'Calculator'!$B$6&gt;=15)</x:f>
        <x:v>1</x:v>
      </x:c>
      <x:c r="H879" t="n">
        <x:f>--AND(F879=1,D879='Calculator'!$B$4)</x:f>
        <x:v>0</x:v>
      </x:c>
      <x:c r="I879" t="n">
        <x:f>--AND(H879=1,G879=1)</x:f>
        <x:v>0</x:v>
      </x:c>
      <x:c r="J879" t="n">
        <x:f>--AND(F879=1,E879='Calculator'!$B$4)</x:f>
        <x:v>0</x:v>
      </x:c>
      <x:c r="K879" t="n">
        <x:f>--AND(J879=1,G879=1)</x:f>
        <x:v>0</x:v>
      </x:c>
      <x:c r="L879" t="str">
        <x:f>A879&amp;"/"&amp;B879&amp;"/"&amp;C879</x:f>
        <x:v>14/13/13</x:v>
      </x:c>
      <x:c r="M879" t="str">
        <x:f>MIN(15,A879+'Calculator'!$B$6)&amp;"/"&amp;MIN(15,B879+'Calculator'!$B$6)&amp;"/"&amp;MIN(15,C879+'Calculator'!$B$6)</x:f>
        <x:v>15/15/15</x:v>
      </x:c>
    </x:row>
    <x:row r="880">
      <x:c r="A880" t="n">
        <x:v>14</x:v>
      </x:c>
      <x:c r="B880" t="n">
        <x:v>13</x:v>
      </x:c>
      <x:c r="C880" t="n">
        <x:v>14</x:v>
      </x:c>
      <x:c r="D880" t="n">
        <x:f>MAX(10,ROUNDDOWN((('Calculator'!$B$10+A880)*SQRT('Calculator'!$B$11+B880)*SQRT('Calculator'!$B$12+C880)*0.59740001^2)/10,0))</x:f>
        <x:v>2362</x:v>
      </x:c>
      <x:c r="E880" t="n">
        <x:f>MAX(10,ROUNDDOWN((('Calculator'!$B$10+A880)*SQRT('Calculator'!$B$11+B880)*SQRT('Calculator'!$B$12+C880)*0.667934^2)/10,0))</x:f>
        <x:v>2953</x:v>
      </x:c>
      <x:c r="F880" t="n">
        <x:f>--AND(A880&gt;='Calculator'!$B$5,B880&gt;='Calculator'!$B$5,C880&gt;='Calculator'!$B$5)</x:f>
        <x:v>1</x:v>
      </x:c>
      <x:c r="G880" t="n">
        <x:f>--AND(A880+'Calculator'!$B$6&gt;=15,B880+'Calculator'!$B$6&gt;=15,C880+'Calculator'!$B$6&gt;=15)</x:f>
        <x:v>1</x:v>
      </x:c>
      <x:c r="H880" t="n">
        <x:f>--AND(F880=1,D880='Calculator'!$B$4)</x:f>
        <x:v>0</x:v>
      </x:c>
      <x:c r="I880" t="n">
        <x:f>--AND(H880=1,G880=1)</x:f>
        <x:v>0</x:v>
      </x:c>
      <x:c r="J880" t="n">
        <x:f>--AND(F880=1,E880='Calculator'!$B$4)</x:f>
        <x:v>0</x:v>
      </x:c>
      <x:c r="K880" t="n">
        <x:f>--AND(J880=1,G880=1)</x:f>
        <x:v>0</x:v>
      </x:c>
      <x:c r="L880" t="str">
        <x:f>A880&amp;"/"&amp;B880&amp;"/"&amp;C880</x:f>
        <x:v>14/13/14</x:v>
      </x:c>
      <x:c r="M880" t="str">
        <x:f>MIN(15,A880+'Calculator'!$B$6)&amp;"/"&amp;MIN(15,B880+'Calculator'!$B$6)&amp;"/"&amp;MIN(15,C880+'Calculator'!$B$6)</x:f>
        <x:v>15/15/15</x:v>
      </x:c>
    </x:row>
    <x:row r="881">
      <x:c r="A881" t="n">
        <x:v>14</x:v>
      </x:c>
      <x:c r="B881" t="n">
        <x:v>13</x:v>
      </x:c>
      <x:c r="C881" t="n">
        <x:v>15</x:v>
      </x:c>
      <x:c r="D881" t="n">
        <x:f>MAX(10,ROUNDDOWN((('Calculator'!$B$10+A881)*SQRT('Calculator'!$B$11+B881)*SQRT('Calculator'!$B$12+C881)*0.59740001^2)/10,0))</x:f>
        <x:v>2368</x:v>
      </x:c>
      <x:c r="E881" t="n">
        <x:f>MAX(10,ROUNDDOWN((('Calculator'!$B$10+A881)*SQRT('Calculator'!$B$11+B881)*SQRT('Calculator'!$B$12+C881)*0.667934^2)/10,0))</x:f>
        <x:v>2960</x:v>
      </x:c>
      <x:c r="F881" t="n">
        <x:f>--AND(A881&gt;='Calculator'!$B$5,B881&gt;='Calculator'!$B$5,C881&gt;='Calculator'!$B$5)</x:f>
        <x:v>1</x:v>
      </x:c>
      <x:c r="G881" t="n">
        <x:f>--AND(A881+'Calculator'!$B$6&gt;=15,B881+'Calculator'!$B$6&gt;=15,C881+'Calculator'!$B$6&gt;=15)</x:f>
        <x:v>1</x:v>
      </x:c>
      <x:c r="H881" t="n">
        <x:f>--AND(F881=1,D881='Calculator'!$B$4)</x:f>
        <x:v>0</x:v>
      </x:c>
      <x:c r="I881" t="n">
        <x:f>--AND(H881=1,G881=1)</x:f>
        <x:v>0</x:v>
      </x:c>
      <x:c r="J881" t="n">
        <x:f>--AND(F881=1,E881='Calculator'!$B$4)</x:f>
        <x:v>0</x:v>
      </x:c>
      <x:c r="K881" t="n">
        <x:f>--AND(J881=1,G881=1)</x:f>
        <x:v>0</x:v>
      </x:c>
      <x:c r="L881" t="str">
        <x:f>A881&amp;"/"&amp;B881&amp;"/"&amp;C881</x:f>
        <x:v>14/13/15</x:v>
      </x:c>
      <x:c r="M881" t="str">
        <x:f>MIN(15,A881+'Calculator'!$B$6)&amp;"/"&amp;MIN(15,B881+'Calculator'!$B$6)&amp;"/"&amp;MIN(15,C881+'Calculator'!$B$6)</x:f>
        <x:v>15/15/15</x:v>
      </x:c>
    </x:row>
    <x:row r="882">
      <x:c r="A882" t="n">
        <x:v>14</x:v>
      </x:c>
      <x:c r="B882" t="n">
        <x:v>14</x:v>
      </x:c>
      <x:c r="C882" t="n">
        <x:v>6</x:v>
      </x:c>
      <x:c r="D882" t="n">
        <x:f>MAX(10,ROUNDDOWN((('Calculator'!$B$10+A882)*SQRT('Calculator'!$B$11+B882)*SQRT('Calculator'!$B$12+C882)*0.59740001^2)/10,0))</x:f>
        <x:v>2327</x:v>
      </x:c>
      <x:c r="E882" t="n">
        <x:f>MAX(10,ROUNDDOWN((('Calculator'!$B$10+A882)*SQRT('Calculator'!$B$11+B882)*SQRT('Calculator'!$B$12+C882)*0.667934^2)/10,0))</x:f>
        <x:v>2908</x:v>
      </x:c>
      <x:c r="F882" t="n">
        <x:f>--AND(A882&gt;='Calculator'!$B$5,B882&gt;='Calculator'!$B$5,C882&gt;='Calculator'!$B$5)</x:f>
        <x:v>1</x:v>
      </x:c>
      <x:c r="G882" t="n">
        <x:f>--AND(A882+'Calculator'!$B$6&gt;=15,B882+'Calculator'!$B$6&gt;=15,C882+'Calculator'!$B$6&gt;=15)</x:f>
        <x:v>0</x:v>
      </x:c>
      <x:c r="H882" t="n">
        <x:f>--AND(F882=1,D882='Calculator'!$B$4)</x:f>
        <x:v>0</x:v>
      </x:c>
      <x:c r="I882" t="n">
        <x:f>--AND(H882=1,G882=1)</x:f>
        <x:v>0</x:v>
      </x:c>
      <x:c r="J882" t="n">
        <x:f>--AND(F882=1,E882='Calculator'!$B$4)</x:f>
        <x:v>0</x:v>
      </x:c>
      <x:c r="K882" t="n">
        <x:f>--AND(J882=1,G882=1)</x:f>
        <x:v>0</x:v>
      </x:c>
      <x:c r="L882" t="str">
        <x:f>A882&amp;"/"&amp;B882&amp;"/"&amp;C882</x:f>
        <x:v>14/14/6</x:v>
      </x:c>
      <x:c r="M882" t="str">
        <x:f>MIN(15,A882+'Calculator'!$B$6)&amp;"/"&amp;MIN(15,B882+'Calculator'!$B$6)&amp;"/"&amp;MIN(15,C882+'Calculator'!$B$6)</x:f>
        <x:v>15/15/8</x:v>
      </x:c>
    </x:row>
    <x:row r="883">
      <x:c r="A883" t="n">
        <x:v>14</x:v>
      </x:c>
      <x:c r="B883" t="n">
        <x:v>14</x:v>
      </x:c>
      <x:c r="C883" t="n">
        <x:v>7</x:v>
      </x:c>
      <x:c r="D883" t="n">
        <x:f>MAX(10,ROUNDDOWN((('Calculator'!$B$10+A883)*SQRT('Calculator'!$B$11+B883)*SQRT('Calculator'!$B$12+C883)*0.59740001^2)/10,0))</x:f>
        <x:v>2332</x:v>
      </x:c>
      <x:c r="E883" t="n">
        <x:f>MAX(10,ROUNDDOWN((('Calculator'!$B$10+A883)*SQRT('Calculator'!$B$11+B883)*SQRT('Calculator'!$B$12+C883)*0.667934^2)/10,0))</x:f>
        <x:v>2915</x:v>
      </x:c>
      <x:c r="F883" t="n">
        <x:f>--AND(A883&gt;='Calculator'!$B$5,B883&gt;='Calculator'!$B$5,C883&gt;='Calculator'!$B$5)</x:f>
        <x:v>1</x:v>
      </x:c>
      <x:c r="G883" t="n">
        <x:f>--AND(A883+'Calculator'!$B$6&gt;=15,B883+'Calculator'!$B$6&gt;=15,C883+'Calculator'!$B$6&gt;=15)</x:f>
        <x:v>0</x:v>
      </x:c>
      <x:c r="H883" t="n">
        <x:f>--AND(F883=1,D883='Calculator'!$B$4)</x:f>
        <x:v>0</x:v>
      </x:c>
      <x:c r="I883" t="n">
        <x:f>--AND(H883=1,G883=1)</x:f>
        <x:v>0</x:v>
      </x:c>
      <x:c r="J883" t="n">
        <x:f>--AND(F883=1,E883='Calculator'!$B$4)</x:f>
        <x:v>0</x:v>
      </x:c>
      <x:c r="K883" t="n">
        <x:f>--AND(J883=1,G883=1)</x:f>
        <x:v>0</x:v>
      </x:c>
      <x:c r="L883" t="str">
        <x:f>A883&amp;"/"&amp;B883&amp;"/"&amp;C883</x:f>
        <x:v>14/14/7</x:v>
      </x:c>
      <x:c r="M883" t="str">
        <x:f>MIN(15,A883+'Calculator'!$B$6)&amp;"/"&amp;MIN(15,B883+'Calculator'!$B$6)&amp;"/"&amp;MIN(15,C883+'Calculator'!$B$6)</x:f>
        <x:v>15/15/9</x:v>
      </x:c>
    </x:row>
    <x:row r="884">
      <x:c r="A884" t="n">
        <x:v>14</x:v>
      </x:c>
      <x:c r="B884" t="n">
        <x:v>14</x:v>
      </x:c>
      <x:c r="C884" t="n">
        <x:v>8</x:v>
      </x:c>
      <x:c r="D884" t="n">
        <x:f>MAX(10,ROUNDDOWN((('Calculator'!$B$10+A884)*SQRT('Calculator'!$B$11+B884)*SQRT('Calculator'!$B$12+C884)*0.59740001^2)/10,0))</x:f>
        <x:v>2337</x:v>
      </x:c>
      <x:c r="E884" t="n">
        <x:f>MAX(10,ROUNDDOWN((('Calculator'!$B$10+A884)*SQRT('Calculator'!$B$11+B884)*SQRT('Calculator'!$B$12+C884)*0.667934^2)/10,0))</x:f>
        <x:v>2922</x:v>
      </x:c>
      <x:c r="F884" t="n">
        <x:f>--AND(A884&gt;='Calculator'!$B$5,B884&gt;='Calculator'!$B$5,C884&gt;='Calculator'!$B$5)</x:f>
        <x:v>1</x:v>
      </x:c>
      <x:c r="G884" t="n">
        <x:f>--AND(A884+'Calculator'!$B$6&gt;=15,B884+'Calculator'!$B$6&gt;=15,C884+'Calculator'!$B$6&gt;=15)</x:f>
        <x:v>0</x:v>
      </x:c>
      <x:c r="H884" t="n">
        <x:f>--AND(F884=1,D884='Calculator'!$B$4)</x:f>
        <x:v>0</x:v>
      </x:c>
      <x:c r="I884" t="n">
        <x:f>--AND(H884=1,G884=1)</x:f>
        <x:v>0</x:v>
      </x:c>
      <x:c r="J884" t="n">
        <x:f>--AND(F884=1,E884='Calculator'!$B$4)</x:f>
        <x:v>0</x:v>
      </x:c>
      <x:c r="K884" t="n">
        <x:f>--AND(J884=1,G884=1)</x:f>
        <x:v>0</x:v>
      </x:c>
      <x:c r="L884" t="str">
        <x:f>A884&amp;"/"&amp;B884&amp;"/"&amp;C884</x:f>
        <x:v>14/14/8</x:v>
      </x:c>
      <x:c r="M884" t="str">
        <x:f>MIN(15,A884+'Calculator'!$B$6)&amp;"/"&amp;MIN(15,B884+'Calculator'!$B$6)&amp;"/"&amp;MIN(15,C884+'Calculator'!$B$6)</x:f>
        <x:v>15/15/10</x:v>
      </x:c>
    </x:row>
    <x:row r="885">
      <x:c r="A885" t="n">
        <x:v>14</x:v>
      </x:c>
      <x:c r="B885" t="n">
        <x:v>14</x:v>
      </x:c>
      <x:c r="C885" t="n">
        <x:v>9</x:v>
      </x:c>
      <x:c r="D885" t="n">
        <x:f>MAX(10,ROUNDDOWN((('Calculator'!$B$10+A885)*SQRT('Calculator'!$B$11+B885)*SQRT('Calculator'!$B$12+C885)*0.59740001^2)/10,0))</x:f>
        <x:v>2342</x:v>
      </x:c>
      <x:c r="E885" t="n">
        <x:f>MAX(10,ROUNDDOWN((('Calculator'!$B$10+A885)*SQRT('Calculator'!$B$11+B885)*SQRT('Calculator'!$B$12+C885)*0.667934^2)/10,0))</x:f>
        <x:v>2928</x:v>
      </x:c>
      <x:c r="F885" t="n">
        <x:f>--AND(A885&gt;='Calculator'!$B$5,B885&gt;='Calculator'!$B$5,C885&gt;='Calculator'!$B$5)</x:f>
        <x:v>1</x:v>
      </x:c>
      <x:c r="G885" t="n">
        <x:f>--AND(A885+'Calculator'!$B$6&gt;=15,B885+'Calculator'!$B$6&gt;=15,C885+'Calculator'!$B$6&gt;=15)</x:f>
        <x:v>0</x:v>
      </x:c>
      <x:c r="H885" t="n">
        <x:f>--AND(F885=1,D885='Calculator'!$B$4)</x:f>
        <x:v>0</x:v>
      </x:c>
      <x:c r="I885" t="n">
        <x:f>--AND(H885=1,G885=1)</x:f>
        <x:v>0</x:v>
      </x:c>
      <x:c r="J885" t="n">
        <x:f>--AND(F885=1,E885='Calculator'!$B$4)</x:f>
        <x:v>0</x:v>
      </x:c>
      <x:c r="K885" t="n">
        <x:f>--AND(J885=1,G885=1)</x:f>
        <x:v>0</x:v>
      </x:c>
      <x:c r="L885" t="str">
        <x:f>A885&amp;"/"&amp;B885&amp;"/"&amp;C885</x:f>
        <x:v>14/14/9</x:v>
      </x:c>
      <x:c r="M885" t="str">
        <x:f>MIN(15,A885+'Calculator'!$B$6)&amp;"/"&amp;MIN(15,B885+'Calculator'!$B$6)&amp;"/"&amp;MIN(15,C885+'Calculator'!$B$6)</x:f>
        <x:v>15/15/11</x:v>
      </x:c>
    </x:row>
    <x:row r="886">
      <x:c r="A886" t="n">
        <x:v>14</x:v>
      </x:c>
      <x:c r="B886" t="n">
        <x:v>14</x:v>
      </x:c>
      <x:c r="C886" t="n">
        <x:v>10</x:v>
      </x:c>
      <x:c r="D886" t="n">
        <x:f>MAX(10,ROUNDDOWN((('Calculator'!$B$10+A886)*SQRT('Calculator'!$B$11+B886)*SQRT('Calculator'!$B$12+C886)*0.59740001^2)/10,0))</x:f>
        <x:v>2348</x:v>
      </x:c>
      <x:c r="E886" t="n">
        <x:f>MAX(10,ROUNDDOWN((('Calculator'!$B$10+A886)*SQRT('Calculator'!$B$11+B886)*SQRT('Calculator'!$B$12+C886)*0.667934^2)/10,0))</x:f>
        <x:v>2935</x:v>
      </x:c>
      <x:c r="F886" t="n">
        <x:f>--AND(A886&gt;='Calculator'!$B$5,B886&gt;='Calculator'!$B$5,C886&gt;='Calculator'!$B$5)</x:f>
        <x:v>1</x:v>
      </x:c>
      <x:c r="G886" t="n">
        <x:f>--AND(A886+'Calculator'!$B$6&gt;=15,B886+'Calculator'!$B$6&gt;=15,C886+'Calculator'!$B$6&gt;=15)</x:f>
        <x:v>0</x:v>
      </x:c>
      <x:c r="H886" t="n">
        <x:f>--AND(F886=1,D886='Calculator'!$B$4)</x:f>
        <x:v>0</x:v>
      </x:c>
      <x:c r="I886" t="n">
        <x:f>--AND(H886=1,G886=1)</x:f>
        <x:v>0</x:v>
      </x:c>
      <x:c r="J886" t="n">
        <x:f>--AND(F886=1,E886='Calculator'!$B$4)</x:f>
        <x:v>0</x:v>
      </x:c>
      <x:c r="K886" t="n">
        <x:f>--AND(J886=1,G886=1)</x:f>
        <x:v>0</x:v>
      </x:c>
      <x:c r="L886" t="str">
        <x:f>A886&amp;"/"&amp;B886&amp;"/"&amp;C886</x:f>
        <x:v>14/14/10</x:v>
      </x:c>
      <x:c r="M886" t="str">
        <x:f>MIN(15,A886+'Calculator'!$B$6)&amp;"/"&amp;MIN(15,B886+'Calculator'!$B$6)&amp;"/"&amp;MIN(15,C886+'Calculator'!$B$6)</x:f>
        <x:v>15/15/12</x:v>
      </x:c>
    </x:row>
    <x:row r="887">
      <x:c r="A887" t="n">
        <x:v>14</x:v>
      </x:c>
      <x:c r="B887" t="n">
        <x:v>14</x:v>
      </x:c>
      <x:c r="C887" t="n">
        <x:v>11</x:v>
      </x:c>
      <x:c r="D887" t="n">
        <x:f>MAX(10,ROUNDDOWN((('Calculator'!$B$10+A887)*SQRT('Calculator'!$B$11+B887)*SQRT('Calculator'!$B$12+C887)*0.59740001^2)/10,0))</x:f>
        <x:v>2353</x:v>
      </x:c>
      <x:c r="E887" t="n">
        <x:f>MAX(10,ROUNDDOWN((('Calculator'!$B$10+A887)*SQRT('Calculator'!$B$11+B887)*SQRT('Calculator'!$B$12+C887)*0.667934^2)/10,0))</x:f>
        <x:v>2941</x:v>
      </x:c>
      <x:c r="F887" t="n">
        <x:f>--AND(A887&gt;='Calculator'!$B$5,B887&gt;='Calculator'!$B$5,C887&gt;='Calculator'!$B$5)</x:f>
        <x:v>1</x:v>
      </x:c>
      <x:c r="G887" t="n">
        <x:f>--AND(A887+'Calculator'!$B$6&gt;=15,B887+'Calculator'!$B$6&gt;=15,C887+'Calculator'!$B$6&gt;=15)</x:f>
        <x:v>0</x:v>
      </x:c>
      <x:c r="H887" t="n">
        <x:f>--AND(F887=1,D887='Calculator'!$B$4)</x:f>
        <x:v>0</x:v>
      </x:c>
      <x:c r="I887" t="n">
        <x:f>--AND(H887=1,G887=1)</x:f>
        <x:v>0</x:v>
      </x:c>
      <x:c r="J887" t="n">
        <x:f>--AND(F887=1,E887='Calculator'!$B$4)</x:f>
        <x:v>0</x:v>
      </x:c>
      <x:c r="K887" t="n">
        <x:f>--AND(J887=1,G887=1)</x:f>
        <x:v>0</x:v>
      </x:c>
      <x:c r="L887" t="str">
        <x:f>A887&amp;"/"&amp;B887&amp;"/"&amp;C887</x:f>
        <x:v>14/14/11</x:v>
      </x:c>
      <x:c r="M887" t="str">
        <x:f>MIN(15,A887+'Calculator'!$B$6)&amp;"/"&amp;MIN(15,B887+'Calculator'!$B$6)&amp;"/"&amp;MIN(15,C887+'Calculator'!$B$6)</x:f>
        <x:v>15/15/13</x:v>
      </x:c>
    </x:row>
    <x:row r="888">
      <x:c r="A888" t="n">
        <x:v>14</x:v>
      </x:c>
      <x:c r="B888" t="n">
        <x:v>14</x:v>
      </x:c>
      <x:c r="C888" t="n">
        <x:v>12</x:v>
      </x:c>
      <x:c r="D888" t="n">
        <x:f>MAX(10,ROUNDDOWN((('Calculator'!$B$10+A888)*SQRT('Calculator'!$B$11+B888)*SQRT('Calculator'!$B$12+C888)*0.59740001^2)/10,0))</x:f>
        <x:v>2358</x:v>
      </x:c>
      <x:c r="E888" t="n">
        <x:f>MAX(10,ROUNDDOWN((('Calculator'!$B$10+A888)*SQRT('Calculator'!$B$11+B888)*SQRT('Calculator'!$B$12+C888)*0.667934^2)/10,0))</x:f>
        <x:v>2948</x:v>
      </x:c>
      <x:c r="F888" t="n">
        <x:f>--AND(A888&gt;='Calculator'!$B$5,B888&gt;='Calculator'!$B$5,C888&gt;='Calculator'!$B$5)</x:f>
        <x:v>1</x:v>
      </x:c>
      <x:c r="G888" t="n">
        <x:f>--AND(A888+'Calculator'!$B$6&gt;=15,B888+'Calculator'!$B$6&gt;=15,C888+'Calculator'!$B$6&gt;=15)</x:f>
        <x:v>0</x:v>
      </x:c>
      <x:c r="H888" t="n">
        <x:f>--AND(F888=1,D888='Calculator'!$B$4)</x:f>
        <x:v>0</x:v>
      </x:c>
      <x:c r="I888" t="n">
        <x:f>--AND(H888=1,G888=1)</x:f>
        <x:v>0</x:v>
      </x:c>
      <x:c r="J888" t="n">
        <x:f>--AND(F888=1,E888='Calculator'!$B$4)</x:f>
        <x:v>0</x:v>
      </x:c>
      <x:c r="K888" t="n">
        <x:f>--AND(J888=1,G888=1)</x:f>
        <x:v>0</x:v>
      </x:c>
      <x:c r="L888" t="str">
        <x:f>A888&amp;"/"&amp;B888&amp;"/"&amp;C888</x:f>
        <x:v>14/14/12</x:v>
      </x:c>
      <x:c r="M888" t="str">
        <x:f>MIN(15,A888+'Calculator'!$B$6)&amp;"/"&amp;MIN(15,B888+'Calculator'!$B$6)&amp;"/"&amp;MIN(15,C888+'Calculator'!$B$6)</x:f>
        <x:v>15/15/14</x:v>
      </x:c>
    </x:row>
    <x:row r="889">
      <x:c r="A889" t="n">
        <x:v>14</x:v>
      </x:c>
      <x:c r="B889" t="n">
        <x:v>14</x:v>
      </x:c>
      <x:c r="C889" t="n">
        <x:v>13</x:v>
      </x:c>
      <x:c r="D889" t="n">
        <x:f>MAX(10,ROUNDDOWN((('Calculator'!$B$10+A889)*SQRT('Calculator'!$B$11+B889)*SQRT('Calculator'!$B$12+C889)*0.59740001^2)/10,0))</x:f>
        <x:v>2363</x:v>
      </x:c>
      <x:c r="E889" t="n">
        <x:f>MAX(10,ROUNDDOWN((('Calculator'!$B$10+A889)*SQRT('Calculator'!$B$11+B889)*SQRT('Calculator'!$B$12+C889)*0.667934^2)/10,0))</x:f>
        <x:v>2954</x:v>
      </x:c>
      <x:c r="F889" t="n">
        <x:f>--AND(A889&gt;='Calculator'!$B$5,B889&gt;='Calculator'!$B$5,C889&gt;='Calculator'!$B$5)</x:f>
        <x:v>1</x:v>
      </x:c>
      <x:c r="G889" t="n">
        <x:f>--AND(A889+'Calculator'!$B$6&gt;=15,B889+'Calculator'!$B$6&gt;=15,C889+'Calculator'!$B$6&gt;=15)</x:f>
        <x:v>1</x:v>
      </x:c>
      <x:c r="H889" t="n">
        <x:f>--AND(F889=1,D889='Calculator'!$B$4)</x:f>
        <x:v>0</x:v>
      </x:c>
      <x:c r="I889" t="n">
        <x:f>--AND(H889=1,G889=1)</x:f>
        <x:v>0</x:v>
      </x:c>
      <x:c r="J889" t="n">
        <x:f>--AND(F889=1,E889='Calculator'!$B$4)</x:f>
        <x:v>0</x:v>
      </x:c>
      <x:c r="K889" t="n">
        <x:f>--AND(J889=1,G889=1)</x:f>
        <x:v>0</x:v>
      </x:c>
      <x:c r="L889" t="str">
        <x:f>A889&amp;"/"&amp;B889&amp;"/"&amp;C889</x:f>
        <x:v>14/14/13</x:v>
      </x:c>
      <x:c r="M889" t="str">
        <x:f>MIN(15,A889+'Calculator'!$B$6)&amp;"/"&amp;MIN(15,B889+'Calculator'!$B$6)&amp;"/"&amp;MIN(15,C889+'Calculator'!$B$6)</x:f>
        <x:v>15/15/15</x:v>
      </x:c>
    </x:row>
    <x:row r="890">
      <x:c r="A890" t="n">
        <x:v>14</x:v>
      </x:c>
      <x:c r="B890" t="n">
        <x:v>14</x:v>
      </x:c>
      <x:c r="C890" t="n">
        <x:v>14</x:v>
      </x:c>
      <x:c r="D890" t="n">
        <x:f>MAX(10,ROUNDDOWN((('Calculator'!$B$10+A890)*SQRT('Calculator'!$B$11+B890)*SQRT('Calculator'!$B$12+C890)*0.59740001^2)/10,0))</x:f>
        <x:v>2368</x:v>
      </x:c>
      <x:c r="E890" t="n">
        <x:f>MAX(10,ROUNDDOWN((('Calculator'!$B$10+A890)*SQRT('Calculator'!$B$11+B890)*SQRT('Calculator'!$B$12+C890)*0.667934^2)/10,0))</x:f>
        <x:v>2961</x:v>
      </x:c>
      <x:c r="F890" t="n">
        <x:f>--AND(A890&gt;='Calculator'!$B$5,B890&gt;='Calculator'!$B$5,C890&gt;='Calculator'!$B$5)</x:f>
        <x:v>1</x:v>
      </x:c>
      <x:c r="G890" t="n">
        <x:f>--AND(A890+'Calculator'!$B$6&gt;=15,B890+'Calculator'!$B$6&gt;=15,C890+'Calculator'!$B$6&gt;=15)</x:f>
        <x:v>1</x:v>
      </x:c>
      <x:c r="H890" t="n">
        <x:f>--AND(F890=1,D890='Calculator'!$B$4)</x:f>
        <x:v>0</x:v>
      </x:c>
      <x:c r="I890" t="n">
        <x:f>--AND(H890=1,G890=1)</x:f>
        <x:v>0</x:v>
      </x:c>
      <x:c r="J890" t="n">
        <x:f>--AND(F890=1,E890='Calculator'!$B$4)</x:f>
        <x:v>0</x:v>
      </x:c>
      <x:c r="K890" t="n">
        <x:f>--AND(J890=1,G890=1)</x:f>
        <x:v>0</x:v>
      </x:c>
      <x:c r="L890" t="str">
        <x:f>A890&amp;"/"&amp;B890&amp;"/"&amp;C890</x:f>
        <x:v>14/14/14</x:v>
      </x:c>
      <x:c r="M890" t="str">
        <x:f>MIN(15,A890+'Calculator'!$B$6)&amp;"/"&amp;MIN(15,B890+'Calculator'!$B$6)&amp;"/"&amp;MIN(15,C890+'Calculator'!$B$6)</x:f>
        <x:v>15/15/15</x:v>
      </x:c>
    </x:row>
    <x:row r="891">
      <x:c r="A891" t="n">
        <x:v>14</x:v>
      </x:c>
      <x:c r="B891" t="n">
        <x:v>14</x:v>
      </x:c>
      <x:c r="C891" t="n">
        <x:v>15</x:v>
      </x:c>
      <x:c r="D891" t="n">
        <x:f>MAX(10,ROUNDDOWN((('Calculator'!$B$10+A891)*SQRT('Calculator'!$B$11+B891)*SQRT('Calculator'!$B$12+C891)*0.59740001^2)/10,0))</x:f>
        <x:v>2374</x:v>
      </x:c>
      <x:c r="E891" t="n">
        <x:f>MAX(10,ROUNDDOWN((('Calculator'!$B$10+A891)*SQRT('Calculator'!$B$11+B891)*SQRT('Calculator'!$B$12+C891)*0.667934^2)/10,0))</x:f>
        <x:v>2967</x:v>
      </x:c>
      <x:c r="F891" t="n">
        <x:f>--AND(A891&gt;='Calculator'!$B$5,B891&gt;='Calculator'!$B$5,C891&gt;='Calculator'!$B$5)</x:f>
        <x:v>1</x:v>
      </x:c>
      <x:c r="G891" t="n">
        <x:f>--AND(A891+'Calculator'!$B$6&gt;=15,B891+'Calculator'!$B$6&gt;=15,C891+'Calculator'!$B$6&gt;=15)</x:f>
        <x:v>1</x:v>
      </x:c>
      <x:c r="H891" t="n">
        <x:f>--AND(F891=1,D891='Calculator'!$B$4)</x:f>
        <x:v>0</x:v>
      </x:c>
      <x:c r="I891" t="n">
        <x:f>--AND(H891=1,G891=1)</x:f>
        <x:v>0</x:v>
      </x:c>
      <x:c r="J891" t="n">
        <x:f>--AND(F891=1,E891='Calculator'!$B$4)</x:f>
        <x:v>0</x:v>
      </x:c>
      <x:c r="K891" t="n">
        <x:f>--AND(J891=1,G891=1)</x:f>
        <x:v>0</x:v>
      </x:c>
      <x:c r="L891" t="str">
        <x:f>A891&amp;"/"&amp;B891&amp;"/"&amp;C891</x:f>
        <x:v>14/14/15</x:v>
      </x:c>
      <x:c r="M891" t="str">
        <x:f>MIN(15,A891+'Calculator'!$B$6)&amp;"/"&amp;MIN(15,B891+'Calculator'!$B$6)&amp;"/"&amp;MIN(15,C891+'Calculator'!$B$6)</x:f>
        <x:v>15/15/15</x:v>
      </x:c>
    </x:row>
    <x:row r="892">
      <x:c r="A892" t="n">
        <x:v>14</x:v>
      </x:c>
      <x:c r="B892" t="n">
        <x:v>15</x:v>
      </x:c>
      <x:c r="C892" t="n">
        <x:v>6</x:v>
      </x:c>
      <x:c r="D892" t="n">
        <x:f>MAX(10,ROUNDDOWN((('Calculator'!$B$10+A892)*SQRT('Calculator'!$B$11+B892)*SQRT('Calculator'!$B$12+C892)*0.59740001^2)/10,0))</x:f>
        <x:v>2332</x:v>
      </x:c>
      <x:c r="E892" t="n">
        <x:f>MAX(10,ROUNDDOWN((('Calculator'!$B$10+A892)*SQRT('Calculator'!$B$11+B892)*SQRT('Calculator'!$B$12+C892)*0.667934^2)/10,0))</x:f>
        <x:v>2916</x:v>
      </x:c>
      <x:c r="F892" t="n">
        <x:f>--AND(A892&gt;='Calculator'!$B$5,B892&gt;='Calculator'!$B$5,C892&gt;='Calculator'!$B$5)</x:f>
        <x:v>1</x:v>
      </x:c>
      <x:c r="G892" t="n">
        <x:f>--AND(A892+'Calculator'!$B$6&gt;=15,B892+'Calculator'!$B$6&gt;=15,C892+'Calculator'!$B$6&gt;=15)</x:f>
        <x:v>0</x:v>
      </x:c>
      <x:c r="H892" t="n">
        <x:f>--AND(F892=1,D892='Calculator'!$B$4)</x:f>
        <x:v>0</x:v>
      </x:c>
      <x:c r="I892" t="n">
        <x:f>--AND(H892=1,G892=1)</x:f>
        <x:v>0</x:v>
      </x:c>
      <x:c r="J892" t="n">
        <x:f>--AND(F892=1,E892='Calculator'!$B$4)</x:f>
        <x:v>0</x:v>
      </x:c>
      <x:c r="K892" t="n">
        <x:f>--AND(J892=1,G892=1)</x:f>
        <x:v>0</x:v>
      </x:c>
      <x:c r="L892" t="str">
        <x:f>A892&amp;"/"&amp;B892&amp;"/"&amp;C892</x:f>
        <x:v>14/15/6</x:v>
      </x:c>
      <x:c r="M892" t="str">
        <x:f>MIN(15,A892+'Calculator'!$B$6)&amp;"/"&amp;MIN(15,B892+'Calculator'!$B$6)&amp;"/"&amp;MIN(15,C892+'Calculator'!$B$6)</x:f>
        <x:v>15/15/8</x:v>
      </x:c>
    </x:row>
    <x:row r="893">
      <x:c r="A893" t="n">
        <x:v>14</x:v>
      </x:c>
      <x:c r="B893" t="n">
        <x:v>15</x:v>
      </x:c>
      <x:c r="C893" t="n">
        <x:v>7</x:v>
      </x:c>
      <x:c r="D893" t="n">
        <x:f>MAX(10,ROUNDDOWN((('Calculator'!$B$10+A893)*SQRT('Calculator'!$B$11+B893)*SQRT('Calculator'!$B$12+C893)*0.59740001^2)/10,0))</x:f>
        <x:v>2338</x:v>
      </x:c>
      <x:c r="E893" t="n">
        <x:f>MAX(10,ROUNDDOWN((('Calculator'!$B$10+A893)*SQRT('Calculator'!$B$11+B893)*SQRT('Calculator'!$B$12+C893)*0.667934^2)/10,0))</x:f>
        <x:v>2922</x:v>
      </x:c>
      <x:c r="F893" t="n">
        <x:f>--AND(A893&gt;='Calculator'!$B$5,B893&gt;='Calculator'!$B$5,C893&gt;='Calculator'!$B$5)</x:f>
        <x:v>1</x:v>
      </x:c>
      <x:c r="G893" t="n">
        <x:f>--AND(A893+'Calculator'!$B$6&gt;=15,B893+'Calculator'!$B$6&gt;=15,C893+'Calculator'!$B$6&gt;=15)</x:f>
        <x:v>0</x:v>
      </x:c>
      <x:c r="H893" t="n">
        <x:f>--AND(F893=1,D893='Calculator'!$B$4)</x:f>
        <x:v>0</x:v>
      </x:c>
      <x:c r="I893" t="n">
        <x:f>--AND(H893=1,G893=1)</x:f>
        <x:v>0</x:v>
      </x:c>
      <x:c r="J893" t="n">
        <x:f>--AND(F893=1,E893='Calculator'!$B$4)</x:f>
        <x:v>0</x:v>
      </x:c>
      <x:c r="K893" t="n">
        <x:f>--AND(J893=1,G893=1)</x:f>
        <x:v>0</x:v>
      </x:c>
      <x:c r="L893" t="str">
        <x:f>A893&amp;"/"&amp;B893&amp;"/"&amp;C893</x:f>
        <x:v>14/15/7</x:v>
      </x:c>
      <x:c r="M893" t="str">
        <x:f>MIN(15,A893+'Calculator'!$B$6)&amp;"/"&amp;MIN(15,B893+'Calculator'!$B$6)&amp;"/"&amp;MIN(15,C893+'Calculator'!$B$6)</x:f>
        <x:v>15/15/9</x:v>
      </x:c>
    </x:row>
    <x:row r="894">
      <x:c r="A894" t="n">
        <x:v>14</x:v>
      </x:c>
      <x:c r="B894" t="n">
        <x:v>15</x:v>
      </x:c>
      <x:c r="C894" t="n">
        <x:v>8</x:v>
      </x:c>
      <x:c r="D894" t="n">
        <x:f>MAX(10,ROUNDDOWN((('Calculator'!$B$10+A894)*SQRT('Calculator'!$B$11+B894)*SQRT('Calculator'!$B$12+C894)*0.59740001^2)/10,0))</x:f>
        <x:v>2343</x:v>
      </x:c>
      <x:c r="E894" t="n">
        <x:f>MAX(10,ROUNDDOWN((('Calculator'!$B$10+A894)*SQRT('Calculator'!$B$11+B894)*SQRT('Calculator'!$B$12+C894)*0.667934^2)/10,0))</x:f>
        <x:v>2929</x:v>
      </x:c>
      <x:c r="F894" t="n">
        <x:f>--AND(A894&gt;='Calculator'!$B$5,B894&gt;='Calculator'!$B$5,C894&gt;='Calculator'!$B$5)</x:f>
        <x:v>1</x:v>
      </x:c>
      <x:c r="G894" t="n">
        <x:f>--AND(A894+'Calculator'!$B$6&gt;=15,B894+'Calculator'!$B$6&gt;=15,C894+'Calculator'!$B$6&gt;=15)</x:f>
        <x:v>0</x:v>
      </x:c>
      <x:c r="H894" t="n">
        <x:f>--AND(F894=1,D894='Calculator'!$B$4)</x:f>
        <x:v>0</x:v>
      </x:c>
      <x:c r="I894" t="n">
        <x:f>--AND(H894=1,G894=1)</x:f>
        <x:v>0</x:v>
      </x:c>
      <x:c r="J894" t="n">
        <x:f>--AND(F894=1,E894='Calculator'!$B$4)</x:f>
        <x:v>0</x:v>
      </x:c>
      <x:c r="K894" t="n">
        <x:f>--AND(J894=1,G894=1)</x:f>
        <x:v>0</x:v>
      </x:c>
      <x:c r="L894" t="str">
        <x:f>A894&amp;"/"&amp;B894&amp;"/"&amp;C894</x:f>
        <x:v>14/15/8</x:v>
      </x:c>
      <x:c r="M894" t="str">
        <x:f>MIN(15,A894+'Calculator'!$B$6)&amp;"/"&amp;MIN(15,B894+'Calculator'!$B$6)&amp;"/"&amp;MIN(15,C894+'Calculator'!$B$6)</x:f>
        <x:v>15/15/10</x:v>
      </x:c>
    </x:row>
    <x:row r="895">
      <x:c r="A895" t="n">
        <x:v>14</x:v>
      </x:c>
      <x:c r="B895" t="n">
        <x:v>15</x:v>
      </x:c>
      <x:c r="C895" t="n">
        <x:v>9</x:v>
      </x:c>
      <x:c r="D895" t="n">
        <x:f>MAX(10,ROUNDDOWN((('Calculator'!$B$10+A895)*SQRT('Calculator'!$B$11+B895)*SQRT('Calculator'!$B$12+C895)*0.59740001^2)/10,0))</x:f>
        <x:v>2348</x:v>
      </x:c>
      <x:c r="E895" t="n">
        <x:f>MAX(10,ROUNDDOWN((('Calculator'!$B$10+A895)*SQRT('Calculator'!$B$11+B895)*SQRT('Calculator'!$B$12+C895)*0.667934^2)/10,0))</x:f>
        <x:v>2936</x:v>
      </x:c>
      <x:c r="F895" t="n">
        <x:f>--AND(A895&gt;='Calculator'!$B$5,B895&gt;='Calculator'!$B$5,C895&gt;='Calculator'!$B$5)</x:f>
        <x:v>1</x:v>
      </x:c>
      <x:c r="G895" t="n">
        <x:f>--AND(A895+'Calculator'!$B$6&gt;=15,B895+'Calculator'!$B$6&gt;=15,C895+'Calculator'!$B$6&gt;=15)</x:f>
        <x:v>0</x:v>
      </x:c>
      <x:c r="H895" t="n">
        <x:f>--AND(F895=1,D895='Calculator'!$B$4)</x:f>
        <x:v>0</x:v>
      </x:c>
      <x:c r="I895" t="n">
        <x:f>--AND(H895=1,G895=1)</x:f>
        <x:v>0</x:v>
      </x:c>
      <x:c r="J895" t="n">
        <x:f>--AND(F895=1,E895='Calculator'!$B$4)</x:f>
        <x:v>0</x:v>
      </x:c>
      <x:c r="K895" t="n">
        <x:f>--AND(J895=1,G895=1)</x:f>
        <x:v>0</x:v>
      </x:c>
      <x:c r="L895" t="str">
        <x:f>A895&amp;"/"&amp;B895&amp;"/"&amp;C895</x:f>
        <x:v>14/15/9</x:v>
      </x:c>
      <x:c r="M895" t="str">
        <x:f>MIN(15,A895+'Calculator'!$B$6)&amp;"/"&amp;MIN(15,B895+'Calculator'!$B$6)&amp;"/"&amp;MIN(15,C895+'Calculator'!$B$6)</x:f>
        <x:v>15/15/11</x:v>
      </x:c>
    </x:row>
    <x:row r="896">
      <x:c r="A896" t="n">
        <x:v>14</x:v>
      </x:c>
      <x:c r="B896" t="n">
        <x:v>15</x:v>
      </x:c>
      <x:c r="C896" t="n">
        <x:v>10</x:v>
      </x:c>
      <x:c r="D896" t="n">
        <x:f>MAX(10,ROUNDDOWN((('Calculator'!$B$10+A896)*SQRT('Calculator'!$B$11+B896)*SQRT('Calculator'!$B$12+C896)*0.59740001^2)/10,0))</x:f>
        <x:v>2354</x:v>
      </x:c>
      <x:c r="E896" t="n">
        <x:f>MAX(10,ROUNDDOWN((('Calculator'!$B$10+A896)*SQRT('Calculator'!$B$11+B896)*SQRT('Calculator'!$B$12+C896)*0.667934^2)/10,0))</x:f>
        <x:v>2942</x:v>
      </x:c>
      <x:c r="F896" t="n">
        <x:f>--AND(A896&gt;='Calculator'!$B$5,B896&gt;='Calculator'!$B$5,C896&gt;='Calculator'!$B$5)</x:f>
        <x:v>1</x:v>
      </x:c>
      <x:c r="G896" t="n">
        <x:f>--AND(A896+'Calculator'!$B$6&gt;=15,B896+'Calculator'!$B$6&gt;=15,C896+'Calculator'!$B$6&gt;=15)</x:f>
        <x:v>0</x:v>
      </x:c>
      <x:c r="H896" t="n">
        <x:f>--AND(F896=1,D896='Calculator'!$B$4)</x:f>
        <x:v>0</x:v>
      </x:c>
      <x:c r="I896" t="n">
        <x:f>--AND(H896=1,G896=1)</x:f>
        <x:v>0</x:v>
      </x:c>
      <x:c r="J896" t="n">
        <x:f>--AND(F896=1,E896='Calculator'!$B$4)</x:f>
        <x:v>0</x:v>
      </x:c>
      <x:c r="K896" t="n">
        <x:f>--AND(J896=1,G896=1)</x:f>
        <x:v>0</x:v>
      </x:c>
      <x:c r="L896" t="str">
        <x:f>A896&amp;"/"&amp;B896&amp;"/"&amp;C896</x:f>
        <x:v>14/15/10</x:v>
      </x:c>
      <x:c r="M896" t="str">
        <x:f>MIN(15,A896+'Calculator'!$B$6)&amp;"/"&amp;MIN(15,B896+'Calculator'!$B$6)&amp;"/"&amp;MIN(15,C896+'Calculator'!$B$6)</x:f>
        <x:v>15/15/12</x:v>
      </x:c>
    </x:row>
    <x:row r="897">
      <x:c r="A897" t="n">
        <x:v>14</x:v>
      </x:c>
      <x:c r="B897" t="n">
        <x:v>15</x:v>
      </x:c>
      <x:c r="C897" t="n">
        <x:v>11</x:v>
      </x:c>
      <x:c r="D897" t="n">
        <x:f>MAX(10,ROUNDDOWN((('Calculator'!$B$10+A897)*SQRT('Calculator'!$B$11+B897)*SQRT('Calculator'!$B$12+C897)*0.59740001^2)/10,0))</x:f>
        <x:v>2359</x:v>
      </x:c>
      <x:c r="E897" t="n">
        <x:f>MAX(10,ROUNDDOWN((('Calculator'!$B$10+A897)*SQRT('Calculator'!$B$11+B897)*SQRT('Calculator'!$B$12+C897)*0.667934^2)/10,0))</x:f>
        <x:v>2949</x:v>
      </x:c>
      <x:c r="F897" t="n">
        <x:f>--AND(A897&gt;='Calculator'!$B$5,B897&gt;='Calculator'!$B$5,C897&gt;='Calculator'!$B$5)</x:f>
        <x:v>1</x:v>
      </x:c>
      <x:c r="G897" t="n">
        <x:f>--AND(A897+'Calculator'!$B$6&gt;=15,B897+'Calculator'!$B$6&gt;=15,C897+'Calculator'!$B$6&gt;=15)</x:f>
        <x:v>0</x:v>
      </x:c>
      <x:c r="H897" t="n">
        <x:f>--AND(F897=1,D897='Calculator'!$B$4)</x:f>
        <x:v>0</x:v>
      </x:c>
      <x:c r="I897" t="n">
        <x:f>--AND(H897=1,G897=1)</x:f>
        <x:v>0</x:v>
      </x:c>
      <x:c r="J897" t="n">
        <x:f>--AND(F897=1,E897='Calculator'!$B$4)</x:f>
        <x:v>0</x:v>
      </x:c>
      <x:c r="K897" t="n">
        <x:f>--AND(J897=1,G897=1)</x:f>
        <x:v>0</x:v>
      </x:c>
      <x:c r="L897" t="str">
        <x:f>A897&amp;"/"&amp;B897&amp;"/"&amp;C897</x:f>
        <x:v>14/15/11</x:v>
      </x:c>
      <x:c r="M897" t="str">
        <x:f>MIN(15,A897+'Calculator'!$B$6)&amp;"/"&amp;MIN(15,B897+'Calculator'!$B$6)&amp;"/"&amp;MIN(15,C897+'Calculator'!$B$6)</x:f>
        <x:v>15/15/13</x:v>
      </x:c>
    </x:row>
    <x:row r="898">
      <x:c r="A898" t="n">
        <x:v>14</x:v>
      </x:c>
      <x:c r="B898" t="n">
        <x:v>15</x:v>
      </x:c>
      <x:c r="C898" t="n">
        <x:v>12</x:v>
      </x:c>
      <x:c r="D898" t="n">
        <x:f>MAX(10,ROUNDDOWN((('Calculator'!$B$10+A898)*SQRT('Calculator'!$B$11+B898)*SQRT('Calculator'!$B$12+C898)*0.59740001^2)/10,0))</x:f>
        <x:v>2364</x:v>
      </x:c>
      <x:c r="E898" t="n">
        <x:f>MAX(10,ROUNDDOWN((('Calculator'!$B$10+A898)*SQRT('Calculator'!$B$11+B898)*SQRT('Calculator'!$B$12+C898)*0.667934^2)/10,0))</x:f>
        <x:v>2955</x:v>
      </x:c>
      <x:c r="F898" t="n">
        <x:f>--AND(A898&gt;='Calculator'!$B$5,B898&gt;='Calculator'!$B$5,C898&gt;='Calculator'!$B$5)</x:f>
        <x:v>1</x:v>
      </x:c>
      <x:c r="G898" t="n">
        <x:f>--AND(A898+'Calculator'!$B$6&gt;=15,B898+'Calculator'!$B$6&gt;=15,C898+'Calculator'!$B$6&gt;=15)</x:f>
        <x:v>0</x:v>
      </x:c>
      <x:c r="H898" t="n">
        <x:f>--AND(F898=1,D898='Calculator'!$B$4)</x:f>
        <x:v>0</x:v>
      </x:c>
      <x:c r="I898" t="n">
        <x:f>--AND(H898=1,G898=1)</x:f>
        <x:v>0</x:v>
      </x:c>
      <x:c r="J898" t="n">
        <x:f>--AND(F898=1,E898='Calculator'!$B$4)</x:f>
        <x:v>0</x:v>
      </x:c>
      <x:c r="K898" t="n">
        <x:f>--AND(J898=1,G898=1)</x:f>
        <x:v>0</x:v>
      </x:c>
      <x:c r="L898" t="str">
        <x:f>A898&amp;"/"&amp;B898&amp;"/"&amp;C898</x:f>
        <x:v>14/15/12</x:v>
      </x:c>
      <x:c r="M898" t="str">
        <x:f>MIN(15,A898+'Calculator'!$B$6)&amp;"/"&amp;MIN(15,B898+'Calculator'!$B$6)&amp;"/"&amp;MIN(15,C898+'Calculator'!$B$6)</x:f>
        <x:v>15/15/14</x:v>
      </x:c>
    </x:row>
    <x:row r="899">
      <x:c r="A899" t="n">
        <x:v>14</x:v>
      </x:c>
      <x:c r="B899" t="n">
        <x:v>15</x:v>
      </x:c>
      <x:c r="C899" t="n">
        <x:v>13</x:v>
      </x:c>
      <x:c r="D899" t="n">
        <x:f>MAX(10,ROUNDDOWN((('Calculator'!$B$10+A899)*SQRT('Calculator'!$B$11+B899)*SQRT('Calculator'!$B$12+C899)*0.59740001^2)/10,0))</x:f>
        <x:v>2369</x:v>
      </x:c>
      <x:c r="E899" t="n">
        <x:f>MAX(10,ROUNDDOWN((('Calculator'!$B$10+A899)*SQRT('Calculator'!$B$11+B899)*SQRT('Calculator'!$B$12+C899)*0.667934^2)/10,0))</x:f>
        <x:v>2962</x:v>
      </x:c>
      <x:c r="F899" t="n">
        <x:f>--AND(A899&gt;='Calculator'!$B$5,B899&gt;='Calculator'!$B$5,C899&gt;='Calculator'!$B$5)</x:f>
        <x:v>1</x:v>
      </x:c>
      <x:c r="G899" t="n">
        <x:f>--AND(A899+'Calculator'!$B$6&gt;=15,B899+'Calculator'!$B$6&gt;=15,C899+'Calculator'!$B$6&gt;=15)</x:f>
        <x:v>1</x:v>
      </x:c>
      <x:c r="H899" t="n">
        <x:f>--AND(F899=1,D899='Calculator'!$B$4)</x:f>
        <x:v>0</x:v>
      </x:c>
      <x:c r="I899" t="n">
        <x:f>--AND(H899=1,G899=1)</x:f>
        <x:v>0</x:v>
      </x:c>
      <x:c r="J899" t="n">
        <x:f>--AND(F899=1,E899='Calculator'!$B$4)</x:f>
        <x:v>0</x:v>
      </x:c>
      <x:c r="K899" t="n">
        <x:f>--AND(J899=1,G899=1)</x:f>
        <x:v>0</x:v>
      </x:c>
      <x:c r="L899" t="str">
        <x:f>A899&amp;"/"&amp;B899&amp;"/"&amp;C899</x:f>
        <x:v>14/15/13</x:v>
      </x:c>
      <x:c r="M899" t="str">
        <x:f>MIN(15,A899+'Calculator'!$B$6)&amp;"/"&amp;MIN(15,B899+'Calculator'!$B$6)&amp;"/"&amp;MIN(15,C899+'Calculator'!$B$6)</x:f>
        <x:v>15/15/15</x:v>
      </x:c>
    </x:row>
    <x:row r="900">
      <x:c r="A900" t="n">
        <x:v>14</x:v>
      </x:c>
      <x:c r="B900" t="n">
        <x:v>15</x:v>
      </x:c>
      <x:c r="C900" t="n">
        <x:v>14</x:v>
      </x:c>
      <x:c r="D900" t="n">
        <x:f>MAX(10,ROUNDDOWN((('Calculator'!$B$10+A900)*SQRT('Calculator'!$B$11+B900)*SQRT('Calculator'!$B$12+C900)*0.59740001^2)/10,0))</x:f>
        <x:v>2374</x:v>
      </x:c>
      <x:c r="E900" t="n">
        <x:f>MAX(10,ROUNDDOWN((('Calculator'!$B$10+A900)*SQRT('Calculator'!$B$11+B900)*SQRT('Calculator'!$B$12+C900)*0.667934^2)/10,0))</x:f>
        <x:v>2968</x:v>
      </x:c>
      <x:c r="F900" t="n">
        <x:f>--AND(A900&gt;='Calculator'!$B$5,B900&gt;='Calculator'!$B$5,C900&gt;='Calculator'!$B$5)</x:f>
        <x:v>1</x:v>
      </x:c>
      <x:c r="G900" t="n">
        <x:f>--AND(A900+'Calculator'!$B$6&gt;=15,B900+'Calculator'!$B$6&gt;=15,C900+'Calculator'!$B$6&gt;=15)</x:f>
        <x:v>1</x:v>
      </x:c>
      <x:c r="H900" t="n">
        <x:f>--AND(F900=1,D900='Calculator'!$B$4)</x:f>
        <x:v>0</x:v>
      </x:c>
      <x:c r="I900" t="n">
        <x:f>--AND(H900=1,G900=1)</x:f>
        <x:v>0</x:v>
      </x:c>
      <x:c r="J900" t="n">
        <x:f>--AND(F900=1,E900='Calculator'!$B$4)</x:f>
        <x:v>0</x:v>
      </x:c>
      <x:c r="K900" t="n">
        <x:f>--AND(J900=1,G900=1)</x:f>
        <x:v>0</x:v>
      </x:c>
      <x:c r="L900" t="str">
        <x:f>A900&amp;"/"&amp;B900&amp;"/"&amp;C900</x:f>
        <x:v>14/15/14</x:v>
      </x:c>
      <x:c r="M900" t="str">
        <x:f>MIN(15,A900+'Calculator'!$B$6)&amp;"/"&amp;MIN(15,B900+'Calculator'!$B$6)&amp;"/"&amp;MIN(15,C900+'Calculator'!$B$6)</x:f>
        <x:v>15/15/15</x:v>
      </x:c>
    </x:row>
    <x:row r="901">
      <x:c r="A901" t="n">
        <x:v>14</x:v>
      </x:c>
      <x:c r="B901" t="n">
        <x:v>15</x:v>
      </x:c>
      <x:c r="C901" t="n">
        <x:v>15</x:v>
      </x:c>
      <x:c r="D901" t="n">
        <x:f>MAX(10,ROUNDDOWN((('Calculator'!$B$10+A901)*SQRT('Calculator'!$B$11+B901)*SQRT('Calculator'!$B$12+C901)*0.59740001^2)/10,0))</x:f>
        <x:v>2380</x:v>
      </x:c>
      <x:c r="E901" t="n">
        <x:f>MAX(10,ROUNDDOWN((('Calculator'!$B$10+A901)*SQRT('Calculator'!$B$11+B901)*SQRT('Calculator'!$B$12+C901)*0.667934^2)/10,0))</x:f>
        <x:v>2975</x:v>
      </x:c>
      <x:c r="F901" t="n">
        <x:f>--AND(A901&gt;='Calculator'!$B$5,B901&gt;='Calculator'!$B$5,C901&gt;='Calculator'!$B$5)</x:f>
        <x:v>1</x:v>
      </x:c>
      <x:c r="G901" t="n">
        <x:f>--AND(A901+'Calculator'!$B$6&gt;=15,B901+'Calculator'!$B$6&gt;=15,C901+'Calculator'!$B$6&gt;=15)</x:f>
        <x:v>1</x:v>
      </x:c>
      <x:c r="H901" t="n">
        <x:f>--AND(F901=1,D901='Calculator'!$B$4)</x:f>
        <x:v>0</x:v>
      </x:c>
      <x:c r="I901" t="n">
        <x:f>--AND(H901=1,G901=1)</x:f>
        <x:v>0</x:v>
      </x:c>
      <x:c r="J901" t="n">
        <x:f>--AND(F901=1,E901='Calculator'!$B$4)</x:f>
        <x:v>0</x:v>
      </x:c>
      <x:c r="K901" t="n">
        <x:f>--AND(J901=1,G901=1)</x:f>
        <x:v>0</x:v>
      </x:c>
      <x:c r="L901" t="str">
        <x:f>A901&amp;"/"&amp;B901&amp;"/"&amp;C901</x:f>
        <x:v>14/15/15</x:v>
      </x:c>
      <x:c r="M901" t="str">
        <x:f>MIN(15,A901+'Calculator'!$B$6)&amp;"/"&amp;MIN(15,B901+'Calculator'!$B$6)&amp;"/"&amp;MIN(15,C901+'Calculator'!$B$6)</x:f>
        <x:v>15/15/15</x:v>
      </x:c>
    </x:row>
    <x:row r="902">
      <x:c r="A902" t="n">
        <x:v>15</x:v>
      </x:c>
      <x:c r="B902" t="n">
        <x:v>6</x:v>
      </x:c>
      <x:c r="C902" t="n">
        <x:v>6</x:v>
      </x:c>
      <x:c r="D902" t="n">
        <x:f>MAX(10,ROUNDDOWN((('Calculator'!$B$10+A902)*SQRT('Calculator'!$B$11+B902)*SQRT('Calculator'!$B$12+C902)*0.59740001^2)/10,0))</x:f>
        <x:v>2286</x:v>
      </x:c>
      <x:c r="E902" t="n">
        <x:f>MAX(10,ROUNDDOWN((('Calculator'!$B$10+A902)*SQRT('Calculator'!$B$11+B902)*SQRT('Calculator'!$B$12+C902)*0.667934^2)/10,0))</x:f>
        <x:v>2858</x:v>
      </x:c>
      <x:c r="F902" t="n">
        <x:f>--AND(A902&gt;='Calculator'!$B$5,B902&gt;='Calculator'!$B$5,C902&gt;='Calculator'!$B$5)</x:f>
        <x:v>1</x:v>
      </x:c>
      <x:c r="G902" t="n">
        <x:f>--AND(A902+'Calculator'!$B$6&gt;=15,B902+'Calculator'!$B$6&gt;=15,C902+'Calculator'!$B$6&gt;=15)</x:f>
        <x:v>0</x:v>
      </x:c>
      <x:c r="H902" t="n">
        <x:f>--AND(F902=1,D902='Calculator'!$B$4)</x:f>
        <x:v>0</x:v>
      </x:c>
      <x:c r="I902" t="n">
        <x:f>--AND(H902=1,G902=1)</x:f>
        <x:v>0</x:v>
      </x:c>
      <x:c r="J902" t="n">
        <x:f>--AND(F902=1,E902='Calculator'!$B$4)</x:f>
        <x:v>0</x:v>
      </x:c>
      <x:c r="K902" t="n">
        <x:f>--AND(J902=1,G902=1)</x:f>
        <x:v>0</x:v>
      </x:c>
      <x:c r="L902" t="str">
        <x:f>A902&amp;"/"&amp;B902&amp;"/"&amp;C902</x:f>
        <x:v>15/6/6</x:v>
      </x:c>
      <x:c r="M902" t="str">
        <x:f>MIN(15,A902+'Calculator'!$B$6)&amp;"/"&amp;MIN(15,B902+'Calculator'!$B$6)&amp;"/"&amp;MIN(15,C902+'Calculator'!$B$6)</x:f>
        <x:v>15/8/8</x:v>
      </x:c>
    </x:row>
    <x:row r="903">
      <x:c r="A903" t="n">
        <x:v>15</x:v>
      </x:c>
      <x:c r="B903" t="n">
        <x:v>6</x:v>
      </x:c>
      <x:c r="C903" t="n">
        <x:v>7</x:v>
      </x:c>
      <x:c r="D903" t="n">
        <x:f>MAX(10,ROUNDDOWN((('Calculator'!$B$10+A903)*SQRT('Calculator'!$B$11+B903)*SQRT('Calculator'!$B$12+C903)*0.59740001^2)/10,0))</x:f>
        <x:v>2291</x:v>
      </x:c>
      <x:c r="E903" t="n">
        <x:f>MAX(10,ROUNDDOWN((('Calculator'!$B$10+A903)*SQRT('Calculator'!$B$11+B903)*SQRT('Calculator'!$B$12+C903)*0.667934^2)/10,0))</x:f>
        <x:v>2864</x:v>
      </x:c>
      <x:c r="F903" t="n">
        <x:f>--AND(A903&gt;='Calculator'!$B$5,B903&gt;='Calculator'!$B$5,C903&gt;='Calculator'!$B$5)</x:f>
        <x:v>1</x:v>
      </x:c>
      <x:c r="G903" t="n">
        <x:f>--AND(A903+'Calculator'!$B$6&gt;=15,B903+'Calculator'!$B$6&gt;=15,C903+'Calculator'!$B$6&gt;=15)</x:f>
        <x:v>0</x:v>
      </x:c>
      <x:c r="H903" t="n">
        <x:f>--AND(F903=1,D903='Calculator'!$B$4)</x:f>
        <x:v>0</x:v>
      </x:c>
      <x:c r="I903" t="n">
        <x:f>--AND(H903=1,G903=1)</x:f>
        <x:v>0</x:v>
      </x:c>
      <x:c r="J903" t="n">
        <x:f>--AND(F903=1,E903='Calculator'!$B$4)</x:f>
        <x:v>0</x:v>
      </x:c>
      <x:c r="K903" t="n">
        <x:f>--AND(J903=1,G903=1)</x:f>
        <x:v>0</x:v>
      </x:c>
      <x:c r="L903" t="str">
        <x:f>A903&amp;"/"&amp;B903&amp;"/"&amp;C903</x:f>
        <x:v>15/6/7</x:v>
      </x:c>
      <x:c r="M903" t="str">
        <x:f>MIN(15,A903+'Calculator'!$B$6)&amp;"/"&amp;MIN(15,B903+'Calculator'!$B$6)&amp;"/"&amp;MIN(15,C903+'Calculator'!$B$6)</x:f>
        <x:v>15/8/9</x:v>
      </x:c>
    </x:row>
    <x:row r="904">
      <x:c r="A904" t="n">
        <x:v>15</x:v>
      </x:c>
      <x:c r="B904" t="n">
        <x:v>6</x:v>
      </x:c>
      <x:c r="C904" t="n">
        <x:v>8</x:v>
      </x:c>
      <x:c r="D904" t="n">
        <x:f>MAX(10,ROUNDDOWN((('Calculator'!$B$10+A904)*SQRT('Calculator'!$B$11+B904)*SQRT('Calculator'!$B$12+C904)*0.59740001^2)/10,0))</x:f>
        <x:v>2296</x:v>
      </x:c>
      <x:c r="E904" t="n">
        <x:f>MAX(10,ROUNDDOWN((('Calculator'!$B$10+A904)*SQRT('Calculator'!$B$11+B904)*SQRT('Calculator'!$B$12+C904)*0.667934^2)/10,0))</x:f>
        <x:v>2870</x:v>
      </x:c>
      <x:c r="F904" t="n">
        <x:f>--AND(A904&gt;='Calculator'!$B$5,B904&gt;='Calculator'!$B$5,C904&gt;='Calculator'!$B$5)</x:f>
        <x:v>1</x:v>
      </x:c>
      <x:c r="G904" t="n">
        <x:f>--AND(A904+'Calculator'!$B$6&gt;=15,B904+'Calculator'!$B$6&gt;=15,C904+'Calculator'!$B$6&gt;=15)</x:f>
        <x:v>0</x:v>
      </x:c>
      <x:c r="H904" t="n">
        <x:f>--AND(F904=1,D904='Calculator'!$B$4)</x:f>
        <x:v>0</x:v>
      </x:c>
      <x:c r="I904" t="n">
        <x:f>--AND(H904=1,G904=1)</x:f>
        <x:v>0</x:v>
      </x:c>
      <x:c r="J904" t="n">
        <x:f>--AND(F904=1,E904='Calculator'!$B$4)</x:f>
        <x:v>0</x:v>
      </x:c>
      <x:c r="K904" t="n">
        <x:f>--AND(J904=1,G904=1)</x:f>
        <x:v>0</x:v>
      </x:c>
      <x:c r="L904" t="str">
        <x:f>A904&amp;"/"&amp;B904&amp;"/"&amp;C904</x:f>
        <x:v>15/6/8</x:v>
      </x:c>
      <x:c r="M904" t="str">
        <x:f>MIN(15,A904+'Calculator'!$B$6)&amp;"/"&amp;MIN(15,B904+'Calculator'!$B$6)&amp;"/"&amp;MIN(15,C904+'Calculator'!$B$6)</x:f>
        <x:v>15/8/10</x:v>
      </x:c>
    </x:row>
    <x:row r="905">
      <x:c r="A905" t="n">
        <x:v>15</x:v>
      </x:c>
      <x:c r="B905" t="n">
        <x:v>6</x:v>
      </x:c>
      <x:c r="C905" t="n">
        <x:v>9</x:v>
      </x:c>
      <x:c r="D905" t="n">
        <x:f>MAX(10,ROUNDDOWN((('Calculator'!$B$10+A905)*SQRT('Calculator'!$B$11+B905)*SQRT('Calculator'!$B$12+C905)*0.59740001^2)/10,0))</x:f>
        <x:v>2301</x:v>
      </x:c>
      <x:c r="E905" t="n">
        <x:f>MAX(10,ROUNDDOWN((('Calculator'!$B$10+A905)*SQRT('Calculator'!$B$11+B905)*SQRT('Calculator'!$B$12+C905)*0.667934^2)/10,0))</x:f>
        <x:v>2877</x:v>
      </x:c>
      <x:c r="F905" t="n">
        <x:f>--AND(A905&gt;='Calculator'!$B$5,B905&gt;='Calculator'!$B$5,C905&gt;='Calculator'!$B$5)</x:f>
        <x:v>1</x:v>
      </x:c>
      <x:c r="G905" t="n">
        <x:f>--AND(A905+'Calculator'!$B$6&gt;=15,B905+'Calculator'!$B$6&gt;=15,C905+'Calculator'!$B$6&gt;=15)</x:f>
        <x:v>0</x:v>
      </x:c>
      <x:c r="H905" t="n">
        <x:f>--AND(F905=1,D905='Calculator'!$B$4)</x:f>
        <x:v>0</x:v>
      </x:c>
      <x:c r="I905" t="n">
        <x:f>--AND(H905=1,G905=1)</x:f>
        <x:v>0</x:v>
      </x:c>
      <x:c r="J905" t="n">
        <x:f>--AND(F905=1,E905='Calculator'!$B$4)</x:f>
        <x:v>0</x:v>
      </x:c>
      <x:c r="K905" t="n">
        <x:f>--AND(J905=1,G905=1)</x:f>
        <x:v>0</x:v>
      </x:c>
      <x:c r="L905" t="str">
        <x:f>A905&amp;"/"&amp;B905&amp;"/"&amp;C905</x:f>
        <x:v>15/6/9</x:v>
      </x:c>
      <x:c r="M905" t="str">
        <x:f>MIN(15,A905+'Calculator'!$B$6)&amp;"/"&amp;MIN(15,B905+'Calculator'!$B$6)&amp;"/"&amp;MIN(15,C905+'Calculator'!$B$6)</x:f>
        <x:v>15/8/11</x:v>
      </x:c>
    </x:row>
    <x:row r="906">
      <x:c r="A906" t="n">
        <x:v>15</x:v>
      </x:c>
      <x:c r="B906" t="n">
        <x:v>6</x:v>
      </x:c>
      <x:c r="C906" t="n">
        <x:v>10</x:v>
      </x:c>
      <x:c r="D906" t="n">
        <x:f>MAX(10,ROUNDDOWN((('Calculator'!$B$10+A906)*SQRT('Calculator'!$B$11+B906)*SQRT('Calculator'!$B$12+C906)*0.59740001^2)/10,0))</x:f>
        <x:v>2306</x:v>
      </x:c>
      <x:c r="E906" t="n">
        <x:f>MAX(10,ROUNDDOWN((('Calculator'!$B$10+A906)*SQRT('Calculator'!$B$11+B906)*SQRT('Calculator'!$B$12+C906)*0.667934^2)/10,0))</x:f>
        <x:v>2883</x:v>
      </x:c>
      <x:c r="F906" t="n">
        <x:f>--AND(A906&gt;='Calculator'!$B$5,B906&gt;='Calculator'!$B$5,C906&gt;='Calculator'!$B$5)</x:f>
        <x:v>1</x:v>
      </x:c>
      <x:c r="G906" t="n">
        <x:f>--AND(A906+'Calculator'!$B$6&gt;=15,B906+'Calculator'!$B$6&gt;=15,C906+'Calculator'!$B$6&gt;=15)</x:f>
        <x:v>0</x:v>
      </x:c>
      <x:c r="H906" t="n">
        <x:f>--AND(F906=1,D906='Calculator'!$B$4)</x:f>
        <x:v>0</x:v>
      </x:c>
      <x:c r="I906" t="n">
        <x:f>--AND(H906=1,G906=1)</x:f>
        <x:v>0</x:v>
      </x:c>
      <x:c r="J906" t="n">
        <x:f>--AND(F906=1,E906='Calculator'!$B$4)</x:f>
        <x:v>0</x:v>
      </x:c>
      <x:c r="K906" t="n">
        <x:f>--AND(J906=1,G906=1)</x:f>
        <x:v>0</x:v>
      </x:c>
      <x:c r="L906" t="str">
        <x:f>A906&amp;"/"&amp;B906&amp;"/"&amp;C906</x:f>
        <x:v>15/6/10</x:v>
      </x:c>
      <x:c r="M906" t="str">
        <x:f>MIN(15,A906+'Calculator'!$B$6)&amp;"/"&amp;MIN(15,B906+'Calculator'!$B$6)&amp;"/"&amp;MIN(15,C906+'Calculator'!$B$6)</x:f>
        <x:v>15/8/12</x:v>
      </x:c>
    </x:row>
    <x:row r="907">
      <x:c r="A907" t="n">
        <x:v>15</x:v>
      </x:c>
      <x:c r="B907" t="n">
        <x:v>6</x:v>
      </x:c>
      <x:c r="C907" t="n">
        <x:v>11</x:v>
      </x:c>
      <x:c r="D907" t="n">
        <x:f>MAX(10,ROUNDDOWN((('Calculator'!$B$10+A907)*SQRT('Calculator'!$B$11+B907)*SQRT('Calculator'!$B$12+C907)*0.59740001^2)/10,0))</x:f>
        <x:v>2312</x:v>
      </x:c>
      <x:c r="E907" t="n">
        <x:f>MAX(10,ROUNDDOWN((('Calculator'!$B$10+A907)*SQRT('Calculator'!$B$11+B907)*SQRT('Calculator'!$B$12+C907)*0.667934^2)/10,0))</x:f>
        <x:v>2890</x:v>
      </x:c>
      <x:c r="F907" t="n">
        <x:f>--AND(A907&gt;='Calculator'!$B$5,B907&gt;='Calculator'!$B$5,C907&gt;='Calculator'!$B$5)</x:f>
        <x:v>1</x:v>
      </x:c>
      <x:c r="G907" t="n">
        <x:f>--AND(A907+'Calculator'!$B$6&gt;=15,B907+'Calculator'!$B$6&gt;=15,C907+'Calculator'!$B$6&gt;=15)</x:f>
        <x:v>0</x:v>
      </x:c>
      <x:c r="H907" t="n">
        <x:f>--AND(F907=1,D907='Calculator'!$B$4)</x:f>
        <x:v>0</x:v>
      </x:c>
      <x:c r="I907" t="n">
        <x:f>--AND(H907=1,G907=1)</x:f>
        <x:v>0</x:v>
      </x:c>
      <x:c r="J907" t="n">
        <x:f>--AND(F907=1,E907='Calculator'!$B$4)</x:f>
        <x:v>0</x:v>
      </x:c>
      <x:c r="K907" t="n">
        <x:f>--AND(J907=1,G907=1)</x:f>
        <x:v>0</x:v>
      </x:c>
      <x:c r="L907" t="str">
        <x:f>A907&amp;"/"&amp;B907&amp;"/"&amp;C907</x:f>
        <x:v>15/6/11</x:v>
      </x:c>
      <x:c r="M907" t="str">
        <x:f>MIN(15,A907+'Calculator'!$B$6)&amp;"/"&amp;MIN(15,B907+'Calculator'!$B$6)&amp;"/"&amp;MIN(15,C907+'Calculator'!$B$6)</x:f>
        <x:v>15/8/13</x:v>
      </x:c>
    </x:row>
    <x:row r="908">
      <x:c r="A908" t="n">
        <x:v>15</x:v>
      </x:c>
      <x:c r="B908" t="n">
        <x:v>6</x:v>
      </x:c>
      <x:c r="C908" t="n">
        <x:v>12</x:v>
      </x:c>
      <x:c r="D908" t="n">
        <x:f>MAX(10,ROUNDDOWN((('Calculator'!$B$10+A908)*SQRT('Calculator'!$B$11+B908)*SQRT('Calculator'!$B$12+C908)*0.59740001^2)/10,0))</x:f>
        <x:v>2317</x:v>
      </x:c>
      <x:c r="E908" t="n">
        <x:f>MAX(10,ROUNDDOWN((('Calculator'!$B$10+A908)*SQRT('Calculator'!$B$11+B908)*SQRT('Calculator'!$B$12+C908)*0.667934^2)/10,0))</x:f>
        <x:v>2896</x:v>
      </x:c>
      <x:c r="F908" t="n">
        <x:f>--AND(A908&gt;='Calculator'!$B$5,B908&gt;='Calculator'!$B$5,C908&gt;='Calculator'!$B$5)</x:f>
        <x:v>1</x:v>
      </x:c>
      <x:c r="G908" t="n">
        <x:f>--AND(A908+'Calculator'!$B$6&gt;=15,B908+'Calculator'!$B$6&gt;=15,C908+'Calculator'!$B$6&gt;=15)</x:f>
        <x:v>0</x:v>
      </x:c>
      <x:c r="H908" t="n">
        <x:f>--AND(F908=1,D908='Calculator'!$B$4)</x:f>
        <x:v>0</x:v>
      </x:c>
      <x:c r="I908" t="n">
        <x:f>--AND(H908=1,G908=1)</x:f>
        <x:v>0</x:v>
      </x:c>
      <x:c r="J908" t="n">
        <x:f>--AND(F908=1,E908='Calculator'!$B$4)</x:f>
        <x:v>0</x:v>
      </x:c>
      <x:c r="K908" t="n">
        <x:f>--AND(J908=1,G908=1)</x:f>
        <x:v>0</x:v>
      </x:c>
      <x:c r="L908" t="str">
        <x:f>A908&amp;"/"&amp;B908&amp;"/"&amp;C908</x:f>
        <x:v>15/6/12</x:v>
      </x:c>
      <x:c r="M908" t="str">
        <x:f>MIN(15,A908+'Calculator'!$B$6)&amp;"/"&amp;MIN(15,B908+'Calculator'!$B$6)&amp;"/"&amp;MIN(15,C908+'Calculator'!$B$6)</x:f>
        <x:v>15/8/14</x:v>
      </x:c>
    </x:row>
    <x:row r="909">
      <x:c r="A909" t="n">
        <x:v>15</x:v>
      </x:c>
      <x:c r="B909" t="n">
        <x:v>6</x:v>
      </x:c>
      <x:c r="C909" t="n">
        <x:v>13</x:v>
      </x:c>
      <x:c r="D909" t="n">
        <x:f>MAX(10,ROUNDDOWN((('Calculator'!$B$10+A909)*SQRT('Calculator'!$B$11+B909)*SQRT('Calculator'!$B$12+C909)*0.59740001^2)/10,0))</x:f>
        <x:v>2322</x:v>
      </x:c>
      <x:c r="E909" t="n">
        <x:f>MAX(10,ROUNDDOWN((('Calculator'!$B$10+A909)*SQRT('Calculator'!$B$11+B909)*SQRT('Calculator'!$B$12+C909)*0.667934^2)/10,0))</x:f>
        <x:v>2903</x:v>
      </x:c>
      <x:c r="F909" t="n">
        <x:f>--AND(A909&gt;='Calculator'!$B$5,B909&gt;='Calculator'!$B$5,C909&gt;='Calculator'!$B$5)</x:f>
        <x:v>1</x:v>
      </x:c>
      <x:c r="G909" t="n">
        <x:f>--AND(A909+'Calculator'!$B$6&gt;=15,B909+'Calculator'!$B$6&gt;=15,C909+'Calculator'!$B$6&gt;=15)</x:f>
        <x:v>0</x:v>
      </x:c>
      <x:c r="H909" t="n">
        <x:f>--AND(F909=1,D909='Calculator'!$B$4)</x:f>
        <x:v>0</x:v>
      </x:c>
      <x:c r="I909" t="n">
        <x:f>--AND(H909=1,G909=1)</x:f>
        <x:v>0</x:v>
      </x:c>
      <x:c r="J909" t="n">
        <x:f>--AND(F909=1,E909='Calculator'!$B$4)</x:f>
        <x:v>0</x:v>
      </x:c>
      <x:c r="K909" t="n">
        <x:f>--AND(J909=1,G909=1)</x:f>
        <x:v>0</x:v>
      </x:c>
      <x:c r="L909" t="str">
        <x:f>A909&amp;"/"&amp;B909&amp;"/"&amp;C909</x:f>
        <x:v>15/6/13</x:v>
      </x:c>
      <x:c r="M909" t="str">
        <x:f>MIN(15,A909+'Calculator'!$B$6)&amp;"/"&amp;MIN(15,B909+'Calculator'!$B$6)&amp;"/"&amp;MIN(15,C909+'Calculator'!$B$6)</x:f>
        <x:v>15/8/15</x:v>
      </x:c>
    </x:row>
    <x:row r="910">
      <x:c r="A910" t="n">
        <x:v>15</x:v>
      </x:c>
      <x:c r="B910" t="n">
        <x:v>6</x:v>
      </x:c>
      <x:c r="C910" t="n">
        <x:v>14</x:v>
      </x:c>
      <x:c r="D910" t="n">
        <x:f>MAX(10,ROUNDDOWN((('Calculator'!$B$10+A910)*SQRT('Calculator'!$B$11+B910)*SQRT('Calculator'!$B$12+C910)*0.59740001^2)/10,0))</x:f>
        <x:v>2327</x:v>
      </x:c>
      <x:c r="E910" t="n">
        <x:f>MAX(10,ROUNDDOWN((('Calculator'!$B$10+A910)*SQRT('Calculator'!$B$11+B910)*SQRT('Calculator'!$B$12+C910)*0.667934^2)/10,0))</x:f>
        <x:v>2909</x:v>
      </x:c>
      <x:c r="F910" t="n">
        <x:f>--AND(A910&gt;='Calculator'!$B$5,B910&gt;='Calculator'!$B$5,C910&gt;='Calculator'!$B$5)</x:f>
        <x:v>1</x:v>
      </x:c>
      <x:c r="G910" t="n">
        <x:f>--AND(A910+'Calculator'!$B$6&gt;=15,B910+'Calculator'!$B$6&gt;=15,C910+'Calculator'!$B$6&gt;=15)</x:f>
        <x:v>0</x:v>
      </x:c>
      <x:c r="H910" t="n">
        <x:f>--AND(F910=1,D910='Calculator'!$B$4)</x:f>
        <x:v>0</x:v>
      </x:c>
      <x:c r="I910" t="n">
        <x:f>--AND(H910=1,G910=1)</x:f>
        <x:v>0</x:v>
      </x:c>
      <x:c r="J910" t="n">
        <x:f>--AND(F910=1,E910='Calculator'!$B$4)</x:f>
        <x:v>0</x:v>
      </x:c>
      <x:c r="K910" t="n">
        <x:f>--AND(J910=1,G910=1)</x:f>
        <x:v>0</x:v>
      </x:c>
      <x:c r="L910" t="str">
        <x:f>A910&amp;"/"&amp;B910&amp;"/"&amp;C910</x:f>
        <x:v>15/6/14</x:v>
      </x:c>
      <x:c r="M910" t="str">
        <x:f>MIN(15,A910+'Calculator'!$B$6)&amp;"/"&amp;MIN(15,B910+'Calculator'!$B$6)&amp;"/"&amp;MIN(15,C910+'Calculator'!$B$6)</x:f>
        <x:v>15/8/15</x:v>
      </x:c>
    </x:row>
    <x:row r="911">
      <x:c r="A911" t="n">
        <x:v>15</x:v>
      </x:c>
      <x:c r="B911" t="n">
        <x:v>6</x:v>
      </x:c>
      <x:c r="C911" t="n">
        <x:v>15</x:v>
      </x:c>
      <x:c r="D911" t="n">
        <x:f>MAX(10,ROUNDDOWN((('Calculator'!$B$10+A911)*SQRT('Calculator'!$B$11+B911)*SQRT('Calculator'!$B$12+C911)*0.59740001^2)/10,0))</x:f>
        <x:v>2332</x:v>
      </x:c>
      <x:c r="E911" t="n">
        <x:f>MAX(10,ROUNDDOWN((('Calculator'!$B$10+A911)*SQRT('Calculator'!$B$11+B911)*SQRT('Calculator'!$B$12+C911)*0.667934^2)/10,0))</x:f>
        <x:v>2915</x:v>
      </x:c>
      <x:c r="F911" t="n">
        <x:f>--AND(A911&gt;='Calculator'!$B$5,B911&gt;='Calculator'!$B$5,C911&gt;='Calculator'!$B$5)</x:f>
        <x:v>1</x:v>
      </x:c>
      <x:c r="G911" t="n">
        <x:f>--AND(A911+'Calculator'!$B$6&gt;=15,B911+'Calculator'!$B$6&gt;=15,C911+'Calculator'!$B$6&gt;=15)</x:f>
        <x:v>0</x:v>
      </x:c>
      <x:c r="H911" t="n">
        <x:f>--AND(F911=1,D911='Calculator'!$B$4)</x:f>
        <x:v>0</x:v>
      </x:c>
      <x:c r="I911" t="n">
        <x:f>--AND(H911=1,G911=1)</x:f>
        <x:v>0</x:v>
      </x:c>
      <x:c r="J911" t="n">
        <x:f>--AND(F911=1,E911='Calculator'!$B$4)</x:f>
        <x:v>0</x:v>
      </x:c>
      <x:c r="K911" t="n">
        <x:f>--AND(J911=1,G911=1)</x:f>
        <x:v>0</x:v>
      </x:c>
      <x:c r="L911" t="str">
        <x:f>A911&amp;"/"&amp;B911&amp;"/"&amp;C911</x:f>
        <x:v>15/6/15</x:v>
      </x:c>
      <x:c r="M911" t="str">
        <x:f>MIN(15,A911+'Calculator'!$B$6)&amp;"/"&amp;MIN(15,B911+'Calculator'!$B$6)&amp;"/"&amp;MIN(15,C911+'Calculator'!$B$6)</x:f>
        <x:v>15/8/15</x:v>
      </x:c>
    </x:row>
    <x:row r="912">
      <x:c r="A912" t="n">
        <x:v>15</x:v>
      </x:c>
      <x:c r="B912" t="n">
        <x:v>7</x:v>
      </x:c>
      <x:c r="C912" t="n">
        <x:v>6</x:v>
      </x:c>
      <x:c r="D912" t="n">
        <x:f>MAX(10,ROUNDDOWN((('Calculator'!$B$10+A912)*SQRT('Calculator'!$B$11+B912)*SQRT('Calculator'!$B$12+C912)*0.59740001^2)/10,0))</x:f>
        <x:v>2292</x:v>
      </x:c>
      <x:c r="E912" t="n">
        <x:f>MAX(10,ROUNDDOWN((('Calculator'!$B$10+A912)*SQRT('Calculator'!$B$11+B912)*SQRT('Calculator'!$B$12+C912)*0.667934^2)/10,0))</x:f>
        <x:v>2865</x:v>
      </x:c>
      <x:c r="F912" t="n">
        <x:f>--AND(A912&gt;='Calculator'!$B$5,B912&gt;='Calculator'!$B$5,C912&gt;='Calculator'!$B$5)</x:f>
        <x:v>1</x:v>
      </x:c>
      <x:c r="G912" t="n">
        <x:f>--AND(A912+'Calculator'!$B$6&gt;=15,B912+'Calculator'!$B$6&gt;=15,C912+'Calculator'!$B$6&gt;=15)</x:f>
        <x:v>0</x:v>
      </x:c>
      <x:c r="H912" t="n">
        <x:f>--AND(F912=1,D912='Calculator'!$B$4)</x:f>
        <x:v>0</x:v>
      </x:c>
      <x:c r="I912" t="n">
        <x:f>--AND(H912=1,G912=1)</x:f>
        <x:v>0</x:v>
      </x:c>
      <x:c r="J912" t="n">
        <x:f>--AND(F912=1,E912='Calculator'!$B$4)</x:f>
        <x:v>0</x:v>
      </x:c>
      <x:c r="K912" t="n">
        <x:f>--AND(J912=1,G912=1)</x:f>
        <x:v>0</x:v>
      </x:c>
      <x:c r="L912" t="str">
        <x:f>A912&amp;"/"&amp;B912&amp;"/"&amp;C912</x:f>
        <x:v>15/7/6</x:v>
      </x:c>
      <x:c r="M912" t="str">
        <x:f>MIN(15,A912+'Calculator'!$B$6)&amp;"/"&amp;MIN(15,B912+'Calculator'!$B$6)&amp;"/"&amp;MIN(15,C912+'Calculator'!$B$6)</x:f>
        <x:v>15/9/8</x:v>
      </x:c>
    </x:row>
    <x:row r="913">
      <x:c r="A913" t="n">
        <x:v>15</x:v>
      </x:c>
      <x:c r="B913" t="n">
        <x:v>7</x:v>
      </x:c>
      <x:c r="C913" t="n">
        <x:v>7</x:v>
      </x:c>
      <x:c r="D913" t="n">
        <x:f>MAX(10,ROUNDDOWN((('Calculator'!$B$10+A913)*SQRT('Calculator'!$B$11+B913)*SQRT('Calculator'!$B$12+C913)*0.59740001^2)/10,0))</x:f>
        <x:v>2297</x:v>
      </x:c>
      <x:c r="E913" t="n">
        <x:f>MAX(10,ROUNDDOWN((('Calculator'!$B$10+A913)*SQRT('Calculator'!$B$11+B913)*SQRT('Calculator'!$B$12+C913)*0.667934^2)/10,0))</x:f>
        <x:v>2872</x:v>
      </x:c>
      <x:c r="F913" t="n">
        <x:f>--AND(A913&gt;='Calculator'!$B$5,B913&gt;='Calculator'!$B$5,C913&gt;='Calculator'!$B$5)</x:f>
        <x:v>1</x:v>
      </x:c>
      <x:c r="G913" t="n">
        <x:f>--AND(A913+'Calculator'!$B$6&gt;=15,B913+'Calculator'!$B$6&gt;=15,C913+'Calculator'!$B$6&gt;=15)</x:f>
        <x:v>0</x:v>
      </x:c>
      <x:c r="H913" t="n">
        <x:f>--AND(F913=1,D913='Calculator'!$B$4)</x:f>
        <x:v>0</x:v>
      </x:c>
      <x:c r="I913" t="n">
        <x:f>--AND(H913=1,G913=1)</x:f>
        <x:v>0</x:v>
      </x:c>
      <x:c r="J913" t="n">
        <x:f>--AND(F913=1,E913='Calculator'!$B$4)</x:f>
        <x:v>0</x:v>
      </x:c>
      <x:c r="K913" t="n">
        <x:f>--AND(J913=1,G913=1)</x:f>
        <x:v>0</x:v>
      </x:c>
      <x:c r="L913" t="str">
        <x:f>A913&amp;"/"&amp;B913&amp;"/"&amp;C913</x:f>
        <x:v>15/7/7</x:v>
      </x:c>
      <x:c r="M913" t="str">
        <x:f>MIN(15,A913+'Calculator'!$B$6)&amp;"/"&amp;MIN(15,B913+'Calculator'!$B$6)&amp;"/"&amp;MIN(15,C913+'Calculator'!$B$6)</x:f>
        <x:v>15/9/9</x:v>
      </x:c>
    </x:row>
    <x:row r="914">
      <x:c r="A914" t="n">
        <x:v>15</x:v>
      </x:c>
      <x:c r="B914" t="n">
        <x:v>7</x:v>
      </x:c>
      <x:c r="C914" t="n">
        <x:v>8</x:v>
      </x:c>
      <x:c r="D914" t="n">
        <x:f>MAX(10,ROUNDDOWN((('Calculator'!$B$10+A914)*SQRT('Calculator'!$B$11+B914)*SQRT('Calculator'!$B$12+C914)*0.59740001^2)/10,0))</x:f>
        <x:v>2302</x:v>
      </x:c>
      <x:c r="E914" t="n">
        <x:f>MAX(10,ROUNDDOWN((('Calculator'!$B$10+A914)*SQRT('Calculator'!$B$11+B914)*SQRT('Calculator'!$B$12+C914)*0.667934^2)/10,0))</x:f>
        <x:v>2878</x:v>
      </x:c>
      <x:c r="F914" t="n">
        <x:f>--AND(A914&gt;='Calculator'!$B$5,B914&gt;='Calculator'!$B$5,C914&gt;='Calculator'!$B$5)</x:f>
        <x:v>1</x:v>
      </x:c>
      <x:c r="G914" t="n">
        <x:f>--AND(A914+'Calculator'!$B$6&gt;=15,B914+'Calculator'!$B$6&gt;=15,C914+'Calculator'!$B$6&gt;=15)</x:f>
        <x:v>0</x:v>
      </x:c>
      <x:c r="H914" t="n">
        <x:f>--AND(F914=1,D914='Calculator'!$B$4)</x:f>
        <x:v>0</x:v>
      </x:c>
      <x:c r="I914" t="n">
        <x:f>--AND(H914=1,G914=1)</x:f>
        <x:v>0</x:v>
      </x:c>
      <x:c r="J914" t="n">
        <x:f>--AND(F914=1,E914='Calculator'!$B$4)</x:f>
        <x:v>0</x:v>
      </x:c>
      <x:c r="K914" t="n">
        <x:f>--AND(J914=1,G914=1)</x:f>
        <x:v>0</x:v>
      </x:c>
      <x:c r="L914" t="str">
        <x:f>A914&amp;"/"&amp;B914&amp;"/"&amp;C914</x:f>
        <x:v>15/7/8</x:v>
      </x:c>
      <x:c r="M914" t="str">
        <x:f>MIN(15,A914+'Calculator'!$B$6)&amp;"/"&amp;MIN(15,B914+'Calculator'!$B$6)&amp;"/"&amp;MIN(15,C914+'Calculator'!$B$6)</x:f>
        <x:v>15/9/10</x:v>
      </x:c>
    </x:row>
    <x:row r="915">
      <x:c r="A915" t="n">
        <x:v>15</x:v>
      </x:c>
      <x:c r="B915" t="n">
        <x:v>7</x:v>
      </x:c>
      <x:c r="C915" t="n">
        <x:v>9</x:v>
      </x:c>
      <x:c r="D915" t="n">
        <x:f>MAX(10,ROUNDDOWN((('Calculator'!$B$10+A915)*SQRT('Calculator'!$B$11+B915)*SQRT('Calculator'!$B$12+C915)*0.59740001^2)/10,0))</x:f>
        <x:v>2307</x:v>
      </x:c>
      <x:c r="E915" t="n">
        <x:f>MAX(10,ROUNDDOWN((('Calculator'!$B$10+A915)*SQRT('Calculator'!$B$11+B915)*SQRT('Calculator'!$B$12+C915)*0.667934^2)/10,0))</x:f>
        <x:v>2885</x:v>
      </x:c>
      <x:c r="F915" t="n">
        <x:f>--AND(A915&gt;='Calculator'!$B$5,B915&gt;='Calculator'!$B$5,C915&gt;='Calculator'!$B$5)</x:f>
        <x:v>1</x:v>
      </x:c>
      <x:c r="G915" t="n">
        <x:f>--AND(A915+'Calculator'!$B$6&gt;=15,B915+'Calculator'!$B$6&gt;=15,C915+'Calculator'!$B$6&gt;=15)</x:f>
        <x:v>0</x:v>
      </x:c>
      <x:c r="H915" t="n">
        <x:f>--AND(F915=1,D915='Calculator'!$B$4)</x:f>
        <x:v>0</x:v>
      </x:c>
      <x:c r="I915" t="n">
        <x:f>--AND(H915=1,G915=1)</x:f>
        <x:v>0</x:v>
      </x:c>
      <x:c r="J915" t="n">
        <x:f>--AND(F915=1,E915='Calculator'!$B$4)</x:f>
        <x:v>0</x:v>
      </x:c>
      <x:c r="K915" t="n">
        <x:f>--AND(J915=1,G915=1)</x:f>
        <x:v>0</x:v>
      </x:c>
      <x:c r="L915" t="str">
        <x:f>A915&amp;"/"&amp;B915&amp;"/"&amp;C915</x:f>
        <x:v>15/7/9</x:v>
      </x:c>
      <x:c r="M915" t="str">
        <x:f>MIN(15,A915+'Calculator'!$B$6)&amp;"/"&amp;MIN(15,B915+'Calculator'!$B$6)&amp;"/"&amp;MIN(15,C915+'Calculator'!$B$6)</x:f>
        <x:v>15/9/11</x:v>
      </x:c>
    </x:row>
    <x:row r="916">
      <x:c r="A916" t="n">
        <x:v>15</x:v>
      </x:c>
      <x:c r="B916" t="n">
        <x:v>7</x:v>
      </x:c>
      <x:c r="C916" t="n">
        <x:v>10</x:v>
      </x:c>
      <x:c r="D916" t="n">
        <x:f>MAX(10,ROUNDDOWN((('Calculator'!$B$10+A916)*SQRT('Calculator'!$B$11+B916)*SQRT('Calculator'!$B$12+C916)*0.59740001^2)/10,0))</x:f>
        <x:v>2313</x:v>
      </x:c>
      <x:c r="E916" t="n">
        <x:f>MAX(10,ROUNDDOWN((('Calculator'!$B$10+A916)*SQRT('Calculator'!$B$11+B916)*SQRT('Calculator'!$B$12+C916)*0.667934^2)/10,0))</x:f>
        <x:v>2891</x:v>
      </x:c>
      <x:c r="F916" t="n">
        <x:f>--AND(A916&gt;='Calculator'!$B$5,B916&gt;='Calculator'!$B$5,C916&gt;='Calculator'!$B$5)</x:f>
        <x:v>1</x:v>
      </x:c>
      <x:c r="G916" t="n">
        <x:f>--AND(A916+'Calculator'!$B$6&gt;=15,B916+'Calculator'!$B$6&gt;=15,C916+'Calculator'!$B$6&gt;=15)</x:f>
        <x:v>0</x:v>
      </x:c>
      <x:c r="H916" t="n">
        <x:f>--AND(F916=1,D916='Calculator'!$B$4)</x:f>
        <x:v>0</x:v>
      </x:c>
      <x:c r="I916" t="n">
        <x:f>--AND(H916=1,G916=1)</x:f>
        <x:v>0</x:v>
      </x:c>
      <x:c r="J916" t="n">
        <x:f>--AND(F916=1,E916='Calculator'!$B$4)</x:f>
        <x:v>0</x:v>
      </x:c>
      <x:c r="K916" t="n">
        <x:f>--AND(J916=1,G916=1)</x:f>
        <x:v>0</x:v>
      </x:c>
      <x:c r="L916" t="str">
        <x:f>A916&amp;"/"&amp;B916&amp;"/"&amp;C916</x:f>
        <x:v>15/7/10</x:v>
      </x:c>
      <x:c r="M916" t="str">
        <x:f>MIN(15,A916+'Calculator'!$B$6)&amp;"/"&amp;MIN(15,B916+'Calculator'!$B$6)&amp;"/"&amp;MIN(15,C916+'Calculator'!$B$6)</x:f>
        <x:v>15/9/12</x:v>
      </x:c>
    </x:row>
    <x:row r="917">
      <x:c r="A917" t="n">
        <x:v>15</x:v>
      </x:c>
      <x:c r="B917" t="n">
        <x:v>7</x:v>
      </x:c>
      <x:c r="C917" t="n">
        <x:v>11</x:v>
      </x:c>
      <x:c r="D917" t="n">
        <x:f>MAX(10,ROUNDDOWN((('Calculator'!$B$10+A917)*SQRT('Calculator'!$B$11+B917)*SQRT('Calculator'!$B$12+C917)*0.59740001^2)/10,0))</x:f>
        <x:v>2318</x:v>
      </x:c>
      <x:c r="E917" t="n">
        <x:f>MAX(10,ROUNDDOWN((('Calculator'!$B$10+A917)*SQRT('Calculator'!$B$11+B917)*SQRT('Calculator'!$B$12+C917)*0.667934^2)/10,0))</x:f>
        <x:v>2898</x:v>
      </x:c>
      <x:c r="F917" t="n">
        <x:f>--AND(A917&gt;='Calculator'!$B$5,B917&gt;='Calculator'!$B$5,C917&gt;='Calculator'!$B$5)</x:f>
        <x:v>1</x:v>
      </x:c>
      <x:c r="G917" t="n">
        <x:f>--AND(A917+'Calculator'!$B$6&gt;=15,B917+'Calculator'!$B$6&gt;=15,C917+'Calculator'!$B$6&gt;=15)</x:f>
        <x:v>0</x:v>
      </x:c>
      <x:c r="H917" t="n">
        <x:f>--AND(F917=1,D917='Calculator'!$B$4)</x:f>
        <x:v>0</x:v>
      </x:c>
      <x:c r="I917" t="n">
        <x:f>--AND(H917=1,G917=1)</x:f>
        <x:v>0</x:v>
      </x:c>
      <x:c r="J917" t="n">
        <x:f>--AND(F917=1,E917='Calculator'!$B$4)</x:f>
        <x:v>0</x:v>
      </x:c>
      <x:c r="K917" t="n">
        <x:f>--AND(J917=1,G917=1)</x:f>
        <x:v>0</x:v>
      </x:c>
      <x:c r="L917" t="str">
        <x:f>A917&amp;"/"&amp;B917&amp;"/"&amp;C917</x:f>
        <x:v>15/7/11</x:v>
      </x:c>
      <x:c r="M917" t="str">
        <x:f>MIN(15,A917+'Calculator'!$B$6)&amp;"/"&amp;MIN(15,B917+'Calculator'!$B$6)&amp;"/"&amp;MIN(15,C917+'Calculator'!$B$6)</x:f>
        <x:v>15/9/13</x:v>
      </x:c>
    </x:row>
    <x:row r="918">
      <x:c r="A918" t="n">
        <x:v>15</x:v>
      </x:c>
      <x:c r="B918" t="n">
        <x:v>7</x:v>
      </x:c>
      <x:c r="C918" t="n">
        <x:v>12</x:v>
      </x:c>
      <x:c r="D918" t="n">
        <x:f>MAX(10,ROUNDDOWN((('Calculator'!$B$10+A918)*SQRT('Calculator'!$B$11+B918)*SQRT('Calculator'!$B$12+C918)*0.59740001^2)/10,0))</x:f>
        <x:v>2323</x:v>
      </x:c>
      <x:c r="E918" t="n">
        <x:f>MAX(10,ROUNDDOWN((('Calculator'!$B$10+A918)*SQRT('Calculator'!$B$11+B918)*SQRT('Calculator'!$B$12+C918)*0.667934^2)/10,0))</x:f>
        <x:v>2904</x:v>
      </x:c>
      <x:c r="F918" t="n">
        <x:f>--AND(A918&gt;='Calculator'!$B$5,B918&gt;='Calculator'!$B$5,C918&gt;='Calculator'!$B$5)</x:f>
        <x:v>1</x:v>
      </x:c>
      <x:c r="G918" t="n">
        <x:f>--AND(A918+'Calculator'!$B$6&gt;=15,B918+'Calculator'!$B$6&gt;=15,C918+'Calculator'!$B$6&gt;=15)</x:f>
        <x:v>0</x:v>
      </x:c>
      <x:c r="H918" t="n">
        <x:f>--AND(F918=1,D918='Calculator'!$B$4)</x:f>
        <x:v>0</x:v>
      </x:c>
      <x:c r="I918" t="n">
        <x:f>--AND(H918=1,G918=1)</x:f>
        <x:v>0</x:v>
      </x:c>
      <x:c r="J918" t="n">
        <x:f>--AND(F918=1,E918='Calculator'!$B$4)</x:f>
        <x:v>0</x:v>
      </x:c>
      <x:c r="K918" t="n">
        <x:f>--AND(J918=1,G918=1)</x:f>
        <x:v>0</x:v>
      </x:c>
      <x:c r="L918" t="str">
        <x:f>A918&amp;"/"&amp;B918&amp;"/"&amp;C918</x:f>
        <x:v>15/7/12</x:v>
      </x:c>
      <x:c r="M918" t="str">
        <x:f>MIN(15,A918+'Calculator'!$B$6)&amp;"/"&amp;MIN(15,B918+'Calculator'!$B$6)&amp;"/"&amp;MIN(15,C918+'Calculator'!$B$6)</x:f>
        <x:v>15/9/14</x:v>
      </x:c>
    </x:row>
    <x:row r="919">
      <x:c r="A919" t="n">
        <x:v>15</x:v>
      </x:c>
      <x:c r="B919" t="n">
        <x:v>7</x:v>
      </x:c>
      <x:c r="C919" t="n">
        <x:v>13</x:v>
      </x:c>
      <x:c r="D919" t="n">
        <x:f>MAX(10,ROUNDDOWN((('Calculator'!$B$10+A919)*SQRT('Calculator'!$B$11+B919)*SQRT('Calculator'!$B$12+C919)*0.59740001^2)/10,0))</x:f>
        <x:v>2328</x:v>
      </x:c>
      <x:c r="E919" t="n">
        <x:f>MAX(10,ROUNDDOWN((('Calculator'!$B$10+A919)*SQRT('Calculator'!$B$11+B919)*SQRT('Calculator'!$B$12+C919)*0.667934^2)/10,0))</x:f>
        <x:v>2910</x:v>
      </x:c>
      <x:c r="F919" t="n">
        <x:f>--AND(A919&gt;='Calculator'!$B$5,B919&gt;='Calculator'!$B$5,C919&gt;='Calculator'!$B$5)</x:f>
        <x:v>1</x:v>
      </x:c>
      <x:c r="G919" t="n">
        <x:f>--AND(A919+'Calculator'!$B$6&gt;=15,B919+'Calculator'!$B$6&gt;=15,C919+'Calculator'!$B$6&gt;=15)</x:f>
        <x:v>0</x:v>
      </x:c>
      <x:c r="H919" t="n">
        <x:f>--AND(F919=1,D919='Calculator'!$B$4)</x:f>
        <x:v>0</x:v>
      </x:c>
      <x:c r="I919" t="n">
        <x:f>--AND(H919=1,G919=1)</x:f>
        <x:v>0</x:v>
      </x:c>
      <x:c r="J919" t="n">
        <x:f>--AND(F919=1,E919='Calculator'!$B$4)</x:f>
        <x:v>0</x:v>
      </x:c>
      <x:c r="K919" t="n">
        <x:f>--AND(J919=1,G919=1)</x:f>
        <x:v>0</x:v>
      </x:c>
      <x:c r="L919" t="str">
        <x:f>A919&amp;"/"&amp;B919&amp;"/"&amp;C919</x:f>
        <x:v>15/7/13</x:v>
      </x:c>
      <x:c r="M919" t="str">
        <x:f>MIN(15,A919+'Calculator'!$B$6)&amp;"/"&amp;MIN(15,B919+'Calculator'!$B$6)&amp;"/"&amp;MIN(15,C919+'Calculator'!$B$6)</x:f>
        <x:v>15/9/15</x:v>
      </x:c>
    </x:row>
    <x:row r="920">
      <x:c r="A920" t="n">
        <x:v>15</x:v>
      </x:c>
      <x:c r="B920" t="n">
        <x:v>7</x:v>
      </x:c>
      <x:c r="C920" t="n">
        <x:v>14</x:v>
      </x:c>
      <x:c r="D920" t="n">
        <x:f>MAX(10,ROUNDDOWN((('Calculator'!$B$10+A920)*SQRT('Calculator'!$B$11+B920)*SQRT('Calculator'!$B$12+C920)*0.59740001^2)/10,0))</x:f>
        <x:v>2333</x:v>
      </x:c>
      <x:c r="E920" t="n">
        <x:f>MAX(10,ROUNDDOWN((('Calculator'!$B$10+A920)*SQRT('Calculator'!$B$11+B920)*SQRT('Calculator'!$B$12+C920)*0.667934^2)/10,0))</x:f>
        <x:v>2917</x:v>
      </x:c>
      <x:c r="F920" t="n">
        <x:f>--AND(A920&gt;='Calculator'!$B$5,B920&gt;='Calculator'!$B$5,C920&gt;='Calculator'!$B$5)</x:f>
        <x:v>1</x:v>
      </x:c>
      <x:c r="G920" t="n">
        <x:f>--AND(A920+'Calculator'!$B$6&gt;=15,B920+'Calculator'!$B$6&gt;=15,C920+'Calculator'!$B$6&gt;=15)</x:f>
        <x:v>0</x:v>
      </x:c>
      <x:c r="H920" t="n">
        <x:f>--AND(F920=1,D920='Calculator'!$B$4)</x:f>
        <x:v>0</x:v>
      </x:c>
      <x:c r="I920" t="n">
        <x:f>--AND(H920=1,G920=1)</x:f>
        <x:v>0</x:v>
      </x:c>
      <x:c r="J920" t="n">
        <x:f>--AND(F920=1,E920='Calculator'!$B$4)</x:f>
        <x:v>0</x:v>
      </x:c>
      <x:c r="K920" t="n">
        <x:f>--AND(J920=1,G920=1)</x:f>
        <x:v>0</x:v>
      </x:c>
      <x:c r="L920" t="str">
        <x:f>A920&amp;"/"&amp;B920&amp;"/"&amp;C920</x:f>
        <x:v>15/7/14</x:v>
      </x:c>
      <x:c r="M920" t="str">
        <x:f>MIN(15,A920+'Calculator'!$B$6)&amp;"/"&amp;MIN(15,B920+'Calculator'!$B$6)&amp;"/"&amp;MIN(15,C920+'Calculator'!$B$6)</x:f>
        <x:v>15/9/15</x:v>
      </x:c>
    </x:row>
    <x:row r="921">
      <x:c r="A921" t="n">
        <x:v>15</x:v>
      </x:c>
      <x:c r="B921" t="n">
        <x:v>7</x:v>
      </x:c>
      <x:c r="C921" t="n">
        <x:v>15</x:v>
      </x:c>
      <x:c r="D921" t="n">
        <x:f>MAX(10,ROUNDDOWN((('Calculator'!$B$10+A921)*SQRT('Calculator'!$B$11+B921)*SQRT('Calculator'!$B$12+C921)*0.59740001^2)/10,0))</x:f>
        <x:v>2338</x:v>
      </x:c>
      <x:c r="E921" t="n">
        <x:f>MAX(10,ROUNDDOWN((('Calculator'!$B$10+A921)*SQRT('Calculator'!$B$11+B921)*SQRT('Calculator'!$B$12+C921)*0.667934^2)/10,0))</x:f>
        <x:v>2923</x:v>
      </x:c>
      <x:c r="F921" t="n">
        <x:f>--AND(A921&gt;='Calculator'!$B$5,B921&gt;='Calculator'!$B$5,C921&gt;='Calculator'!$B$5)</x:f>
        <x:v>1</x:v>
      </x:c>
      <x:c r="G921" t="n">
        <x:f>--AND(A921+'Calculator'!$B$6&gt;=15,B921+'Calculator'!$B$6&gt;=15,C921+'Calculator'!$B$6&gt;=15)</x:f>
        <x:v>0</x:v>
      </x:c>
      <x:c r="H921" t="n">
        <x:f>--AND(F921=1,D921='Calculator'!$B$4)</x:f>
        <x:v>0</x:v>
      </x:c>
      <x:c r="I921" t="n">
        <x:f>--AND(H921=1,G921=1)</x:f>
        <x:v>0</x:v>
      </x:c>
      <x:c r="J921" t="n">
        <x:f>--AND(F921=1,E921='Calculator'!$B$4)</x:f>
        <x:v>0</x:v>
      </x:c>
      <x:c r="K921" t="n">
        <x:f>--AND(J921=1,G921=1)</x:f>
        <x:v>0</x:v>
      </x:c>
      <x:c r="L921" t="str">
        <x:f>A921&amp;"/"&amp;B921&amp;"/"&amp;C921</x:f>
        <x:v>15/7/15</x:v>
      </x:c>
      <x:c r="M921" t="str">
        <x:f>MIN(15,A921+'Calculator'!$B$6)&amp;"/"&amp;MIN(15,B921+'Calculator'!$B$6)&amp;"/"&amp;MIN(15,C921+'Calculator'!$B$6)</x:f>
        <x:v>15/9/15</x:v>
      </x:c>
    </x:row>
    <x:row r="922">
      <x:c r="A922" t="n">
        <x:v>15</x:v>
      </x:c>
      <x:c r="B922" t="n">
        <x:v>8</x:v>
      </x:c>
      <x:c r="C922" t="n">
        <x:v>6</x:v>
      </x:c>
      <x:c r="D922" t="n">
        <x:f>MAX(10,ROUNDDOWN((('Calculator'!$B$10+A922)*SQRT('Calculator'!$B$11+B922)*SQRT('Calculator'!$B$12+C922)*0.59740001^2)/10,0))</x:f>
        <x:v>2298</x:v>
      </x:c>
      <x:c r="E922" t="n">
        <x:f>MAX(10,ROUNDDOWN((('Calculator'!$B$10+A922)*SQRT('Calculator'!$B$11+B922)*SQRT('Calculator'!$B$12+C922)*0.667934^2)/10,0))</x:f>
        <x:v>2873</x:v>
      </x:c>
      <x:c r="F922" t="n">
        <x:f>--AND(A922&gt;='Calculator'!$B$5,B922&gt;='Calculator'!$B$5,C922&gt;='Calculator'!$B$5)</x:f>
        <x:v>1</x:v>
      </x:c>
      <x:c r="G922" t="n">
        <x:f>--AND(A922+'Calculator'!$B$6&gt;=15,B922+'Calculator'!$B$6&gt;=15,C922+'Calculator'!$B$6&gt;=15)</x:f>
        <x:v>0</x:v>
      </x:c>
      <x:c r="H922" t="n">
        <x:f>--AND(F922=1,D922='Calculator'!$B$4)</x:f>
        <x:v>0</x:v>
      </x:c>
      <x:c r="I922" t="n">
        <x:f>--AND(H922=1,G922=1)</x:f>
        <x:v>0</x:v>
      </x:c>
      <x:c r="J922" t="n">
        <x:f>--AND(F922=1,E922='Calculator'!$B$4)</x:f>
        <x:v>0</x:v>
      </x:c>
      <x:c r="K922" t="n">
        <x:f>--AND(J922=1,G922=1)</x:f>
        <x:v>0</x:v>
      </x:c>
      <x:c r="L922" t="str">
        <x:f>A922&amp;"/"&amp;B922&amp;"/"&amp;C922</x:f>
        <x:v>15/8/6</x:v>
      </x:c>
      <x:c r="M922" t="str">
        <x:f>MIN(15,A922+'Calculator'!$B$6)&amp;"/"&amp;MIN(15,B922+'Calculator'!$B$6)&amp;"/"&amp;MIN(15,C922+'Calculator'!$B$6)</x:f>
        <x:v>15/10/8</x:v>
      </x:c>
    </x:row>
    <x:row r="923">
      <x:c r="A923" t="n">
        <x:v>15</x:v>
      </x:c>
      <x:c r="B923" t="n">
        <x:v>8</x:v>
      </x:c>
      <x:c r="C923" t="n">
        <x:v>7</x:v>
      </x:c>
      <x:c r="D923" t="n">
        <x:f>MAX(10,ROUNDDOWN((('Calculator'!$B$10+A923)*SQRT('Calculator'!$B$11+B923)*SQRT('Calculator'!$B$12+C923)*0.59740001^2)/10,0))</x:f>
        <x:v>2303</x:v>
      </x:c>
      <x:c r="E923" t="n">
        <x:f>MAX(10,ROUNDDOWN((('Calculator'!$B$10+A923)*SQRT('Calculator'!$B$11+B923)*SQRT('Calculator'!$B$12+C923)*0.667934^2)/10,0))</x:f>
        <x:v>2879</x:v>
      </x:c>
      <x:c r="F923" t="n">
        <x:f>--AND(A923&gt;='Calculator'!$B$5,B923&gt;='Calculator'!$B$5,C923&gt;='Calculator'!$B$5)</x:f>
        <x:v>1</x:v>
      </x:c>
      <x:c r="G923" t="n">
        <x:f>--AND(A923+'Calculator'!$B$6&gt;=15,B923+'Calculator'!$B$6&gt;=15,C923+'Calculator'!$B$6&gt;=15)</x:f>
        <x:v>0</x:v>
      </x:c>
      <x:c r="H923" t="n">
        <x:f>--AND(F923=1,D923='Calculator'!$B$4)</x:f>
        <x:v>0</x:v>
      </x:c>
      <x:c r="I923" t="n">
        <x:f>--AND(H923=1,G923=1)</x:f>
        <x:v>0</x:v>
      </x:c>
      <x:c r="J923" t="n">
        <x:f>--AND(F923=1,E923='Calculator'!$B$4)</x:f>
        <x:v>0</x:v>
      </x:c>
      <x:c r="K923" t="n">
        <x:f>--AND(J923=1,G923=1)</x:f>
        <x:v>0</x:v>
      </x:c>
      <x:c r="L923" t="str">
        <x:f>A923&amp;"/"&amp;B923&amp;"/"&amp;C923</x:f>
        <x:v>15/8/7</x:v>
      </x:c>
      <x:c r="M923" t="str">
        <x:f>MIN(15,A923+'Calculator'!$B$6)&amp;"/"&amp;MIN(15,B923+'Calculator'!$B$6)&amp;"/"&amp;MIN(15,C923+'Calculator'!$B$6)</x:f>
        <x:v>15/10/9</x:v>
      </x:c>
    </x:row>
    <x:row r="924">
      <x:c r="A924" t="n">
        <x:v>15</x:v>
      </x:c>
      <x:c r="B924" t="n">
        <x:v>8</x:v>
      </x:c>
      <x:c r="C924" t="n">
        <x:v>8</x:v>
      </x:c>
      <x:c r="D924" t="n">
        <x:f>MAX(10,ROUNDDOWN((('Calculator'!$B$10+A924)*SQRT('Calculator'!$B$11+B924)*SQRT('Calculator'!$B$12+C924)*0.59740001^2)/10,0))</x:f>
        <x:v>2308</x:v>
      </x:c>
      <x:c r="E924" t="n">
        <x:f>MAX(10,ROUNDDOWN((('Calculator'!$B$10+A924)*SQRT('Calculator'!$B$11+B924)*SQRT('Calculator'!$B$12+C924)*0.667934^2)/10,0))</x:f>
        <x:v>2886</x:v>
      </x:c>
      <x:c r="F924" t="n">
        <x:f>--AND(A924&gt;='Calculator'!$B$5,B924&gt;='Calculator'!$B$5,C924&gt;='Calculator'!$B$5)</x:f>
        <x:v>1</x:v>
      </x:c>
      <x:c r="G924" t="n">
        <x:f>--AND(A924+'Calculator'!$B$6&gt;=15,B924+'Calculator'!$B$6&gt;=15,C924+'Calculator'!$B$6&gt;=15)</x:f>
        <x:v>0</x:v>
      </x:c>
      <x:c r="H924" t="n">
        <x:f>--AND(F924=1,D924='Calculator'!$B$4)</x:f>
        <x:v>0</x:v>
      </x:c>
      <x:c r="I924" t="n">
        <x:f>--AND(H924=1,G924=1)</x:f>
        <x:v>0</x:v>
      </x:c>
      <x:c r="J924" t="n">
        <x:f>--AND(F924=1,E924='Calculator'!$B$4)</x:f>
        <x:v>0</x:v>
      </x:c>
      <x:c r="K924" t="n">
        <x:f>--AND(J924=1,G924=1)</x:f>
        <x:v>0</x:v>
      </x:c>
      <x:c r="L924" t="str">
        <x:f>A924&amp;"/"&amp;B924&amp;"/"&amp;C924</x:f>
        <x:v>15/8/8</x:v>
      </x:c>
      <x:c r="M924" t="str">
        <x:f>MIN(15,A924+'Calculator'!$B$6)&amp;"/"&amp;MIN(15,B924+'Calculator'!$B$6)&amp;"/"&amp;MIN(15,C924+'Calculator'!$B$6)</x:f>
        <x:v>15/10/10</x:v>
      </x:c>
    </x:row>
    <x:row r="925">
      <x:c r="A925" t="n">
        <x:v>15</x:v>
      </x:c>
      <x:c r="B925" t="n">
        <x:v>8</x:v>
      </x:c>
      <x:c r="C925" t="n">
        <x:v>9</x:v>
      </x:c>
      <x:c r="D925" t="n">
        <x:f>MAX(10,ROUNDDOWN((('Calculator'!$B$10+A925)*SQRT('Calculator'!$B$11+B925)*SQRT('Calculator'!$B$12+C925)*0.59740001^2)/10,0))</x:f>
        <x:v>2314</x:v>
      </x:c>
      <x:c r="E925" t="n">
        <x:f>MAX(10,ROUNDDOWN((('Calculator'!$B$10+A925)*SQRT('Calculator'!$B$11+B925)*SQRT('Calculator'!$B$12+C925)*0.667934^2)/10,0))</x:f>
        <x:v>2892</x:v>
      </x:c>
      <x:c r="F925" t="n">
        <x:f>--AND(A925&gt;='Calculator'!$B$5,B925&gt;='Calculator'!$B$5,C925&gt;='Calculator'!$B$5)</x:f>
        <x:v>1</x:v>
      </x:c>
      <x:c r="G925" t="n">
        <x:f>--AND(A925+'Calculator'!$B$6&gt;=15,B925+'Calculator'!$B$6&gt;=15,C925+'Calculator'!$B$6&gt;=15)</x:f>
        <x:v>0</x:v>
      </x:c>
      <x:c r="H925" t="n">
        <x:f>--AND(F925=1,D925='Calculator'!$B$4)</x:f>
        <x:v>0</x:v>
      </x:c>
      <x:c r="I925" t="n">
        <x:f>--AND(H925=1,G925=1)</x:f>
        <x:v>0</x:v>
      </x:c>
      <x:c r="J925" t="n">
        <x:f>--AND(F925=1,E925='Calculator'!$B$4)</x:f>
        <x:v>0</x:v>
      </x:c>
      <x:c r="K925" t="n">
        <x:f>--AND(J925=1,G925=1)</x:f>
        <x:v>0</x:v>
      </x:c>
      <x:c r="L925" t="str">
        <x:f>A925&amp;"/"&amp;B925&amp;"/"&amp;C925</x:f>
        <x:v>15/8/9</x:v>
      </x:c>
      <x:c r="M925" t="str">
        <x:f>MIN(15,A925+'Calculator'!$B$6)&amp;"/"&amp;MIN(15,B925+'Calculator'!$B$6)&amp;"/"&amp;MIN(15,C925+'Calculator'!$B$6)</x:f>
        <x:v>15/10/11</x:v>
      </x:c>
    </x:row>
    <x:row r="926">
      <x:c r="A926" t="n">
        <x:v>15</x:v>
      </x:c>
      <x:c r="B926" t="n">
        <x:v>8</x:v>
      </x:c>
      <x:c r="C926" t="n">
        <x:v>10</x:v>
      </x:c>
      <x:c r="D926" t="n">
        <x:f>MAX(10,ROUNDDOWN((('Calculator'!$B$10+A926)*SQRT('Calculator'!$B$11+B926)*SQRT('Calculator'!$B$12+C926)*0.59740001^2)/10,0))</x:f>
        <x:v>2319</x:v>
      </x:c>
      <x:c r="E926" t="n">
        <x:f>MAX(10,ROUNDDOWN((('Calculator'!$B$10+A926)*SQRT('Calculator'!$B$11+B926)*SQRT('Calculator'!$B$12+C926)*0.667934^2)/10,0))</x:f>
        <x:v>2899</x:v>
      </x:c>
      <x:c r="F926" t="n">
        <x:f>--AND(A926&gt;='Calculator'!$B$5,B926&gt;='Calculator'!$B$5,C926&gt;='Calculator'!$B$5)</x:f>
        <x:v>1</x:v>
      </x:c>
      <x:c r="G926" t="n">
        <x:f>--AND(A926+'Calculator'!$B$6&gt;=15,B926+'Calculator'!$B$6&gt;=15,C926+'Calculator'!$B$6&gt;=15)</x:f>
        <x:v>0</x:v>
      </x:c>
      <x:c r="H926" t="n">
        <x:f>--AND(F926=1,D926='Calculator'!$B$4)</x:f>
        <x:v>0</x:v>
      </x:c>
      <x:c r="I926" t="n">
        <x:f>--AND(H926=1,G926=1)</x:f>
        <x:v>0</x:v>
      </x:c>
      <x:c r="J926" t="n">
        <x:f>--AND(F926=1,E926='Calculator'!$B$4)</x:f>
        <x:v>0</x:v>
      </x:c>
      <x:c r="K926" t="n">
        <x:f>--AND(J926=1,G926=1)</x:f>
        <x:v>0</x:v>
      </x:c>
      <x:c r="L926" t="str">
        <x:f>A926&amp;"/"&amp;B926&amp;"/"&amp;C926</x:f>
        <x:v>15/8/10</x:v>
      </x:c>
      <x:c r="M926" t="str">
        <x:f>MIN(15,A926+'Calculator'!$B$6)&amp;"/"&amp;MIN(15,B926+'Calculator'!$B$6)&amp;"/"&amp;MIN(15,C926+'Calculator'!$B$6)</x:f>
        <x:v>15/10/12</x:v>
      </x:c>
    </x:row>
    <x:row r="927">
      <x:c r="A927" t="n">
        <x:v>15</x:v>
      </x:c>
      <x:c r="B927" t="n">
        <x:v>8</x:v>
      </x:c>
      <x:c r="C927" t="n">
        <x:v>11</x:v>
      </x:c>
      <x:c r="D927" t="n">
        <x:f>MAX(10,ROUNDDOWN((('Calculator'!$B$10+A927)*SQRT('Calculator'!$B$11+B927)*SQRT('Calculator'!$B$12+C927)*0.59740001^2)/10,0))</x:f>
        <x:v>2324</x:v>
      </x:c>
      <x:c r="E927" t="n">
        <x:f>MAX(10,ROUNDDOWN((('Calculator'!$B$10+A927)*SQRT('Calculator'!$B$11+B927)*SQRT('Calculator'!$B$12+C927)*0.667934^2)/10,0))</x:f>
        <x:v>2905</x:v>
      </x:c>
      <x:c r="F927" t="n">
        <x:f>--AND(A927&gt;='Calculator'!$B$5,B927&gt;='Calculator'!$B$5,C927&gt;='Calculator'!$B$5)</x:f>
        <x:v>1</x:v>
      </x:c>
      <x:c r="G927" t="n">
        <x:f>--AND(A927+'Calculator'!$B$6&gt;=15,B927+'Calculator'!$B$6&gt;=15,C927+'Calculator'!$B$6&gt;=15)</x:f>
        <x:v>0</x:v>
      </x:c>
      <x:c r="H927" t="n">
        <x:f>--AND(F927=1,D927='Calculator'!$B$4)</x:f>
        <x:v>0</x:v>
      </x:c>
      <x:c r="I927" t="n">
        <x:f>--AND(H927=1,G927=1)</x:f>
        <x:v>0</x:v>
      </x:c>
      <x:c r="J927" t="n">
        <x:f>--AND(F927=1,E927='Calculator'!$B$4)</x:f>
        <x:v>0</x:v>
      </x:c>
      <x:c r="K927" t="n">
        <x:f>--AND(J927=1,G927=1)</x:f>
        <x:v>0</x:v>
      </x:c>
      <x:c r="L927" t="str">
        <x:f>A927&amp;"/"&amp;B927&amp;"/"&amp;C927</x:f>
        <x:v>15/8/11</x:v>
      </x:c>
      <x:c r="M927" t="str">
        <x:f>MIN(15,A927+'Calculator'!$B$6)&amp;"/"&amp;MIN(15,B927+'Calculator'!$B$6)&amp;"/"&amp;MIN(15,C927+'Calculator'!$B$6)</x:f>
        <x:v>15/10/13</x:v>
      </x:c>
    </x:row>
    <x:row r="928">
      <x:c r="A928" t="n">
        <x:v>15</x:v>
      </x:c>
      <x:c r="B928" t="n">
        <x:v>8</x:v>
      </x:c>
      <x:c r="C928" t="n">
        <x:v>12</x:v>
      </x:c>
      <x:c r="D928" t="n">
        <x:f>MAX(10,ROUNDDOWN((('Calculator'!$B$10+A928)*SQRT('Calculator'!$B$11+B928)*SQRT('Calculator'!$B$12+C928)*0.59740001^2)/10,0))</x:f>
        <x:v>2329</x:v>
      </x:c>
      <x:c r="E928" t="n">
        <x:f>MAX(10,ROUNDDOWN((('Calculator'!$B$10+A928)*SQRT('Calculator'!$B$11+B928)*SQRT('Calculator'!$B$12+C928)*0.667934^2)/10,0))</x:f>
        <x:v>2912</x:v>
      </x:c>
      <x:c r="F928" t="n">
        <x:f>--AND(A928&gt;='Calculator'!$B$5,B928&gt;='Calculator'!$B$5,C928&gt;='Calculator'!$B$5)</x:f>
        <x:v>1</x:v>
      </x:c>
      <x:c r="G928" t="n">
        <x:f>--AND(A928+'Calculator'!$B$6&gt;=15,B928+'Calculator'!$B$6&gt;=15,C928+'Calculator'!$B$6&gt;=15)</x:f>
        <x:v>0</x:v>
      </x:c>
      <x:c r="H928" t="n">
        <x:f>--AND(F928=1,D928='Calculator'!$B$4)</x:f>
        <x:v>0</x:v>
      </x:c>
      <x:c r="I928" t="n">
        <x:f>--AND(H928=1,G928=1)</x:f>
        <x:v>0</x:v>
      </x:c>
      <x:c r="J928" t="n">
        <x:f>--AND(F928=1,E928='Calculator'!$B$4)</x:f>
        <x:v>0</x:v>
      </x:c>
      <x:c r="K928" t="n">
        <x:f>--AND(J928=1,G928=1)</x:f>
        <x:v>0</x:v>
      </x:c>
      <x:c r="L928" t="str">
        <x:f>A928&amp;"/"&amp;B928&amp;"/"&amp;C928</x:f>
        <x:v>15/8/12</x:v>
      </x:c>
      <x:c r="M928" t="str">
        <x:f>MIN(15,A928+'Calculator'!$B$6)&amp;"/"&amp;MIN(15,B928+'Calculator'!$B$6)&amp;"/"&amp;MIN(15,C928+'Calculator'!$B$6)</x:f>
        <x:v>15/10/14</x:v>
      </x:c>
    </x:row>
    <x:row r="929">
      <x:c r="A929" t="n">
        <x:v>15</x:v>
      </x:c>
      <x:c r="B929" t="n">
        <x:v>8</x:v>
      </x:c>
      <x:c r="C929" t="n">
        <x:v>13</x:v>
      </x:c>
      <x:c r="D929" t="n">
        <x:f>MAX(10,ROUNDDOWN((('Calculator'!$B$10+A929)*SQRT('Calculator'!$B$11+B929)*SQRT('Calculator'!$B$12+C929)*0.59740001^2)/10,0))</x:f>
        <x:v>2334</x:v>
      </x:c>
      <x:c r="E929" t="n">
        <x:f>MAX(10,ROUNDDOWN((('Calculator'!$B$10+A929)*SQRT('Calculator'!$B$11+B929)*SQRT('Calculator'!$B$12+C929)*0.667934^2)/10,0))</x:f>
        <x:v>2918</x:v>
      </x:c>
      <x:c r="F929" t="n">
        <x:f>--AND(A929&gt;='Calculator'!$B$5,B929&gt;='Calculator'!$B$5,C929&gt;='Calculator'!$B$5)</x:f>
        <x:v>1</x:v>
      </x:c>
      <x:c r="G929" t="n">
        <x:f>--AND(A929+'Calculator'!$B$6&gt;=15,B929+'Calculator'!$B$6&gt;=15,C929+'Calculator'!$B$6&gt;=15)</x:f>
        <x:v>0</x:v>
      </x:c>
      <x:c r="H929" t="n">
        <x:f>--AND(F929=1,D929='Calculator'!$B$4)</x:f>
        <x:v>0</x:v>
      </x:c>
      <x:c r="I929" t="n">
        <x:f>--AND(H929=1,G929=1)</x:f>
        <x:v>0</x:v>
      </x:c>
      <x:c r="J929" t="n">
        <x:f>--AND(F929=1,E929='Calculator'!$B$4)</x:f>
        <x:v>0</x:v>
      </x:c>
      <x:c r="K929" t="n">
        <x:f>--AND(J929=1,G929=1)</x:f>
        <x:v>0</x:v>
      </x:c>
      <x:c r="L929" t="str">
        <x:f>A929&amp;"/"&amp;B929&amp;"/"&amp;C929</x:f>
        <x:v>15/8/13</x:v>
      </x:c>
      <x:c r="M929" t="str">
        <x:f>MIN(15,A929+'Calculator'!$B$6)&amp;"/"&amp;MIN(15,B929+'Calculator'!$B$6)&amp;"/"&amp;MIN(15,C929+'Calculator'!$B$6)</x:f>
        <x:v>15/10/15</x:v>
      </x:c>
    </x:row>
    <x:row r="930">
      <x:c r="A930" t="n">
        <x:v>15</x:v>
      </x:c>
      <x:c r="B930" t="n">
        <x:v>8</x:v>
      </x:c>
      <x:c r="C930" t="n">
        <x:v>14</x:v>
      </x:c>
      <x:c r="D930" t="n">
        <x:f>MAX(10,ROUNDDOWN((('Calculator'!$B$10+A930)*SQRT('Calculator'!$B$11+B930)*SQRT('Calculator'!$B$12+C930)*0.59740001^2)/10,0))</x:f>
        <x:v>2339</x:v>
      </x:c>
      <x:c r="E930" t="n">
        <x:f>MAX(10,ROUNDDOWN((('Calculator'!$B$10+A930)*SQRT('Calculator'!$B$11+B930)*SQRT('Calculator'!$B$12+C930)*0.667934^2)/10,0))</x:f>
        <x:v>2924</x:v>
      </x:c>
      <x:c r="F930" t="n">
        <x:f>--AND(A930&gt;='Calculator'!$B$5,B930&gt;='Calculator'!$B$5,C930&gt;='Calculator'!$B$5)</x:f>
        <x:v>1</x:v>
      </x:c>
      <x:c r="G930" t="n">
        <x:f>--AND(A930+'Calculator'!$B$6&gt;=15,B930+'Calculator'!$B$6&gt;=15,C930+'Calculator'!$B$6&gt;=15)</x:f>
        <x:v>0</x:v>
      </x:c>
      <x:c r="H930" t="n">
        <x:f>--AND(F930=1,D930='Calculator'!$B$4)</x:f>
        <x:v>0</x:v>
      </x:c>
      <x:c r="I930" t="n">
        <x:f>--AND(H930=1,G930=1)</x:f>
        <x:v>0</x:v>
      </x:c>
      <x:c r="J930" t="n">
        <x:f>--AND(F930=1,E930='Calculator'!$B$4)</x:f>
        <x:v>0</x:v>
      </x:c>
      <x:c r="K930" t="n">
        <x:f>--AND(J930=1,G930=1)</x:f>
        <x:v>0</x:v>
      </x:c>
      <x:c r="L930" t="str">
        <x:f>A930&amp;"/"&amp;B930&amp;"/"&amp;C930</x:f>
        <x:v>15/8/14</x:v>
      </x:c>
      <x:c r="M930" t="str">
        <x:f>MIN(15,A930+'Calculator'!$B$6)&amp;"/"&amp;MIN(15,B930+'Calculator'!$B$6)&amp;"/"&amp;MIN(15,C930+'Calculator'!$B$6)</x:f>
        <x:v>15/10/15</x:v>
      </x:c>
    </x:row>
    <x:row r="931">
      <x:c r="A931" t="n">
        <x:v>15</x:v>
      </x:c>
      <x:c r="B931" t="n">
        <x:v>8</x:v>
      </x:c>
      <x:c r="C931" t="n">
        <x:v>15</x:v>
      </x:c>
      <x:c r="D931" t="n">
        <x:f>MAX(10,ROUNDDOWN((('Calculator'!$B$10+A931)*SQRT('Calculator'!$B$11+B931)*SQRT('Calculator'!$B$12+C931)*0.59740001^2)/10,0))</x:f>
        <x:v>2344</x:v>
      </x:c>
      <x:c r="E931" t="n">
        <x:f>MAX(10,ROUNDDOWN((('Calculator'!$B$10+A931)*SQRT('Calculator'!$B$11+B931)*SQRT('Calculator'!$B$12+C931)*0.667934^2)/10,0))</x:f>
        <x:v>2931</x:v>
      </x:c>
      <x:c r="F931" t="n">
        <x:f>--AND(A931&gt;='Calculator'!$B$5,B931&gt;='Calculator'!$B$5,C931&gt;='Calculator'!$B$5)</x:f>
        <x:v>1</x:v>
      </x:c>
      <x:c r="G931" t="n">
        <x:f>--AND(A931+'Calculator'!$B$6&gt;=15,B931+'Calculator'!$B$6&gt;=15,C931+'Calculator'!$B$6&gt;=15)</x:f>
        <x:v>0</x:v>
      </x:c>
      <x:c r="H931" t="n">
        <x:f>--AND(F931=1,D931='Calculator'!$B$4)</x:f>
        <x:v>0</x:v>
      </x:c>
      <x:c r="I931" t="n">
        <x:f>--AND(H931=1,G931=1)</x:f>
        <x:v>0</x:v>
      </x:c>
      <x:c r="J931" t="n">
        <x:f>--AND(F931=1,E931='Calculator'!$B$4)</x:f>
        <x:v>0</x:v>
      </x:c>
      <x:c r="K931" t="n">
        <x:f>--AND(J931=1,G931=1)</x:f>
        <x:v>0</x:v>
      </x:c>
      <x:c r="L931" t="str">
        <x:f>A931&amp;"/"&amp;B931&amp;"/"&amp;C931</x:f>
        <x:v>15/8/15</x:v>
      </x:c>
      <x:c r="M931" t="str">
        <x:f>MIN(15,A931+'Calculator'!$B$6)&amp;"/"&amp;MIN(15,B931+'Calculator'!$B$6)&amp;"/"&amp;MIN(15,C931+'Calculator'!$B$6)</x:f>
        <x:v>15/10/15</x:v>
      </x:c>
    </x:row>
    <x:row r="932">
      <x:c r="A932" t="n">
        <x:v>15</x:v>
      </x:c>
      <x:c r="B932" t="n">
        <x:v>9</x:v>
      </x:c>
      <x:c r="C932" t="n">
        <x:v>6</x:v>
      </x:c>
      <x:c r="D932" t="n">
        <x:f>MAX(10,ROUNDDOWN((('Calculator'!$B$10+A932)*SQRT('Calculator'!$B$11+B932)*SQRT('Calculator'!$B$12+C932)*0.59740001^2)/10,0))</x:f>
        <x:v>2304</x:v>
      </x:c>
      <x:c r="E932" t="n">
        <x:f>MAX(10,ROUNDDOWN((('Calculator'!$B$10+A932)*SQRT('Calculator'!$B$11+B932)*SQRT('Calculator'!$B$12+C932)*0.667934^2)/10,0))</x:f>
        <x:v>2880</x:v>
      </x:c>
      <x:c r="F932" t="n">
        <x:f>--AND(A932&gt;='Calculator'!$B$5,B932&gt;='Calculator'!$B$5,C932&gt;='Calculator'!$B$5)</x:f>
        <x:v>1</x:v>
      </x:c>
      <x:c r="G932" t="n">
        <x:f>--AND(A932+'Calculator'!$B$6&gt;=15,B932+'Calculator'!$B$6&gt;=15,C932+'Calculator'!$B$6&gt;=15)</x:f>
        <x:v>0</x:v>
      </x:c>
      <x:c r="H932" t="n">
        <x:f>--AND(F932=1,D932='Calculator'!$B$4)</x:f>
        <x:v>0</x:v>
      </x:c>
      <x:c r="I932" t="n">
        <x:f>--AND(H932=1,G932=1)</x:f>
        <x:v>0</x:v>
      </x:c>
      <x:c r="J932" t="n">
        <x:f>--AND(F932=1,E932='Calculator'!$B$4)</x:f>
        <x:v>0</x:v>
      </x:c>
      <x:c r="K932" t="n">
        <x:f>--AND(J932=1,G932=1)</x:f>
        <x:v>0</x:v>
      </x:c>
      <x:c r="L932" t="str">
        <x:f>A932&amp;"/"&amp;B932&amp;"/"&amp;C932</x:f>
        <x:v>15/9/6</x:v>
      </x:c>
      <x:c r="M932" t="str">
        <x:f>MIN(15,A932+'Calculator'!$B$6)&amp;"/"&amp;MIN(15,B932+'Calculator'!$B$6)&amp;"/"&amp;MIN(15,C932+'Calculator'!$B$6)</x:f>
        <x:v>15/11/8</x:v>
      </x:c>
    </x:row>
    <x:row r="933">
      <x:c r="A933" t="n">
        <x:v>15</x:v>
      </x:c>
      <x:c r="B933" t="n">
        <x:v>9</x:v>
      </x:c>
      <x:c r="C933" t="n">
        <x:v>7</x:v>
      </x:c>
      <x:c r="D933" t="n">
        <x:f>MAX(10,ROUNDDOWN((('Calculator'!$B$10+A933)*SQRT('Calculator'!$B$11+B933)*SQRT('Calculator'!$B$12+C933)*0.59740001^2)/10,0))</x:f>
        <x:v>2309</x:v>
      </x:c>
      <x:c r="E933" t="n">
        <x:f>MAX(10,ROUNDDOWN((('Calculator'!$B$10+A933)*SQRT('Calculator'!$B$11+B933)*SQRT('Calculator'!$B$12+C933)*0.667934^2)/10,0))</x:f>
        <x:v>2887</x:v>
      </x:c>
      <x:c r="F933" t="n">
        <x:f>--AND(A933&gt;='Calculator'!$B$5,B933&gt;='Calculator'!$B$5,C933&gt;='Calculator'!$B$5)</x:f>
        <x:v>1</x:v>
      </x:c>
      <x:c r="G933" t="n">
        <x:f>--AND(A933+'Calculator'!$B$6&gt;=15,B933+'Calculator'!$B$6&gt;=15,C933+'Calculator'!$B$6&gt;=15)</x:f>
        <x:v>0</x:v>
      </x:c>
      <x:c r="H933" t="n">
        <x:f>--AND(F933=1,D933='Calculator'!$B$4)</x:f>
        <x:v>0</x:v>
      </x:c>
      <x:c r="I933" t="n">
        <x:f>--AND(H933=1,G933=1)</x:f>
        <x:v>0</x:v>
      </x:c>
      <x:c r="J933" t="n">
        <x:f>--AND(F933=1,E933='Calculator'!$B$4)</x:f>
        <x:v>0</x:v>
      </x:c>
      <x:c r="K933" t="n">
        <x:f>--AND(J933=1,G933=1)</x:f>
        <x:v>0</x:v>
      </x:c>
      <x:c r="L933" t="str">
        <x:f>A933&amp;"/"&amp;B933&amp;"/"&amp;C933</x:f>
        <x:v>15/9/7</x:v>
      </x:c>
      <x:c r="M933" t="str">
        <x:f>MIN(15,A933+'Calculator'!$B$6)&amp;"/"&amp;MIN(15,B933+'Calculator'!$B$6)&amp;"/"&amp;MIN(15,C933+'Calculator'!$B$6)</x:f>
        <x:v>15/11/9</x:v>
      </x:c>
    </x:row>
    <x:row r="934">
      <x:c r="A934" t="n">
        <x:v>15</x:v>
      </x:c>
      <x:c r="B934" t="n">
        <x:v>9</x:v>
      </x:c>
      <x:c r="C934" t="n">
        <x:v>8</x:v>
      </x:c>
      <x:c r="D934" t="n">
        <x:f>MAX(10,ROUNDDOWN((('Calculator'!$B$10+A934)*SQRT('Calculator'!$B$11+B934)*SQRT('Calculator'!$B$12+C934)*0.59740001^2)/10,0))</x:f>
        <x:v>2314</x:v>
      </x:c>
      <x:c r="E934" t="n">
        <x:f>MAX(10,ROUNDDOWN((('Calculator'!$B$10+A934)*SQRT('Calculator'!$B$11+B934)*SQRT('Calculator'!$B$12+C934)*0.667934^2)/10,0))</x:f>
        <x:v>2893</x:v>
      </x:c>
      <x:c r="F934" t="n">
        <x:f>--AND(A934&gt;='Calculator'!$B$5,B934&gt;='Calculator'!$B$5,C934&gt;='Calculator'!$B$5)</x:f>
        <x:v>1</x:v>
      </x:c>
      <x:c r="G934" t="n">
        <x:f>--AND(A934+'Calculator'!$B$6&gt;=15,B934+'Calculator'!$B$6&gt;=15,C934+'Calculator'!$B$6&gt;=15)</x:f>
        <x:v>0</x:v>
      </x:c>
      <x:c r="H934" t="n">
        <x:f>--AND(F934=1,D934='Calculator'!$B$4)</x:f>
        <x:v>0</x:v>
      </x:c>
      <x:c r="I934" t="n">
        <x:f>--AND(H934=1,G934=1)</x:f>
        <x:v>0</x:v>
      </x:c>
      <x:c r="J934" t="n">
        <x:f>--AND(F934=1,E934='Calculator'!$B$4)</x:f>
        <x:v>0</x:v>
      </x:c>
      <x:c r="K934" t="n">
        <x:f>--AND(J934=1,G934=1)</x:f>
        <x:v>0</x:v>
      </x:c>
      <x:c r="L934" t="str">
        <x:f>A934&amp;"/"&amp;B934&amp;"/"&amp;C934</x:f>
        <x:v>15/9/8</x:v>
      </x:c>
      <x:c r="M934" t="str">
        <x:f>MIN(15,A934+'Calculator'!$B$6)&amp;"/"&amp;MIN(15,B934+'Calculator'!$B$6)&amp;"/"&amp;MIN(15,C934+'Calculator'!$B$6)</x:f>
        <x:v>15/11/10</x:v>
      </x:c>
    </x:row>
    <x:row r="935">
      <x:c r="A935" t="n">
        <x:v>15</x:v>
      </x:c>
      <x:c r="B935" t="n">
        <x:v>9</x:v>
      </x:c>
      <x:c r="C935" t="n">
        <x:v>9</x:v>
      </x:c>
      <x:c r="D935" t="n">
        <x:f>MAX(10,ROUNDDOWN((('Calculator'!$B$10+A935)*SQRT('Calculator'!$B$11+B935)*SQRT('Calculator'!$B$12+C935)*0.59740001^2)/10,0))</x:f>
        <x:v>2320</x:v>
      </x:c>
      <x:c r="E935" t="n">
        <x:f>MAX(10,ROUNDDOWN((('Calculator'!$B$10+A935)*SQRT('Calculator'!$B$11+B935)*SQRT('Calculator'!$B$12+C935)*0.667934^2)/10,0))</x:f>
        <x:v>2900</x:v>
      </x:c>
      <x:c r="F935" t="n">
        <x:f>--AND(A935&gt;='Calculator'!$B$5,B935&gt;='Calculator'!$B$5,C935&gt;='Calculator'!$B$5)</x:f>
        <x:v>1</x:v>
      </x:c>
      <x:c r="G935" t="n">
        <x:f>--AND(A935+'Calculator'!$B$6&gt;=15,B935+'Calculator'!$B$6&gt;=15,C935+'Calculator'!$B$6&gt;=15)</x:f>
        <x:v>0</x:v>
      </x:c>
      <x:c r="H935" t="n">
        <x:f>--AND(F935=1,D935='Calculator'!$B$4)</x:f>
        <x:v>0</x:v>
      </x:c>
      <x:c r="I935" t="n">
        <x:f>--AND(H935=1,G935=1)</x:f>
        <x:v>0</x:v>
      </x:c>
      <x:c r="J935" t="n">
        <x:f>--AND(F935=1,E935='Calculator'!$B$4)</x:f>
        <x:v>0</x:v>
      </x:c>
      <x:c r="K935" t="n">
        <x:f>--AND(J935=1,G935=1)</x:f>
        <x:v>0</x:v>
      </x:c>
      <x:c r="L935" t="str">
        <x:f>A935&amp;"/"&amp;B935&amp;"/"&amp;C935</x:f>
        <x:v>15/9/9</x:v>
      </x:c>
      <x:c r="M935" t="str">
        <x:f>MIN(15,A935+'Calculator'!$B$6)&amp;"/"&amp;MIN(15,B935+'Calculator'!$B$6)&amp;"/"&amp;MIN(15,C935+'Calculator'!$B$6)</x:f>
        <x:v>15/11/11</x:v>
      </x:c>
    </x:row>
    <x:row r="936">
      <x:c r="A936" t="n">
        <x:v>15</x:v>
      </x:c>
      <x:c r="B936" t="n">
        <x:v>9</x:v>
      </x:c>
      <x:c r="C936" t="n">
        <x:v>10</x:v>
      </x:c>
      <x:c r="D936" t="n">
        <x:f>MAX(10,ROUNDDOWN((('Calculator'!$B$10+A936)*SQRT('Calculator'!$B$11+B936)*SQRT('Calculator'!$B$12+C936)*0.59740001^2)/10,0))</x:f>
        <x:v>2325</x:v>
      </x:c>
      <x:c r="E936" t="n">
        <x:f>MAX(10,ROUNDDOWN((('Calculator'!$B$10+A936)*SQRT('Calculator'!$B$11+B936)*SQRT('Calculator'!$B$12+C936)*0.667934^2)/10,0))</x:f>
        <x:v>2906</x:v>
      </x:c>
      <x:c r="F936" t="n">
        <x:f>--AND(A936&gt;='Calculator'!$B$5,B936&gt;='Calculator'!$B$5,C936&gt;='Calculator'!$B$5)</x:f>
        <x:v>1</x:v>
      </x:c>
      <x:c r="G936" t="n">
        <x:f>--AND(A936+'Calculator'!$B$6&gt;=15,B936+'Calculator'!$B$6&gt;=15,C936+'Calculator'!$B$6&gt;=15)</x:f>
        <x:v>0</x:v>
      </x:c>
      <x:c r="H936" t="n">
        <x:f>--AND(F936=1,D936='Calculator'!$B$4)</x:f>
        <x:v>0</x:v>
      </x:c>
      <x:c r="I936" t="n">
        <x:f>--AND(H936=1,G936=1)</x:f>
        <x:v>0</x:v>
      </x:c>
      <x:c r="J936" t="n">
        <x:f>--AND(F936=1,E936='Calculator'!$B$4)</x:f>
        <x:v>0</x:v>
      </x:c>
      <x:c r="K936" t="n">
        <x:f>--AND(J936=1,G936=1)</x:f>
        <x:v>0</x:v>
      </x:c>
      <x:c r="L936" t="str">
        <x:f>A936&amp;"/"&amp;B936&amp;"/"&amp;C936</x:f>
        <x:v>15/9/10</x:v>
      </x:c>
      <x:c r="M936" t="str">
        <x:f>MIN(15,A936+'Calculator'!$B$6)&amp;"/"&amp;MIN(15,B936+'Calculator'!$B$6)&amp;"/"&amp;MIN(15,C936+'Calculator'!$B$6)</x:f>
        <x:v>15/11/12</x:v>
      </x:c>
    </x:row>
    <x:row r="937">
      <x:c r="A937" t="n">
        <x:v>15</x:v>
      </x:c>
      <x:c r="B937" t="n">
        <x:v>9</x:v>
      </x:c>
      <x:c r="C937" t="n">
        <x:v>11</x:v>
      </x:c>
      <x:c r="D937" t="n">
        <x:f>MAX(10,ROUNDDOWN((('Calculator'!$B$10+A937)*SQRT('Calculator'!$B$11+B937)*SQRT('Calculator'!$B$12+C937)*0.59740001^2)/10,0))</x:f>
        <x:v>2330</x:v>
      </x:c>
      <x:c r="E937" t="n">
        <x:f>MAX(10,ROUNDDOWN((('Calculator'!$B$10+A937)*SQRT('Calculator'!$B$11+B937)*SQRT('Calculator'!$B$12+C937)*0.667934^2)/10,0))</x:f>
        <x:v>2913</x:v>
      </x:c>
      <x:c r="F937" t="n">
        <x:f>--AND(A937&gt;='Calculator'!$B$5,B937&gt;='Calculator'!$B$5,C937&gt;='Calculator'!$B$5)</x:f>
        <x:v>1</x:v>
      </x:c>
      <x:c r="G937" t="n">
        <x:f>--AND(A937+'Calculator'!$B$6&gt;=15,B937+'Calculator'!$B$6&gt;=15,C937+'Calculator'!$B$6&gt;=15)</x:f>
        <x:v>0</x:v>
      </x:c>
      <x:c r="H937" t="n">
        <x:f>--AND(F937=1,D937='Calculator'!$B$4)</x:f>
        <x:v>0</x:v>
      </x:c>
      <x:c r="I937" t="n">
        <x:f>--AND(H937=1,G937=1)</x:f>
        <x:v>0</x:v>
      </x:c>
      <x:c r="J937" t="n">
        <x:f>--AND(F937=1,E937='Calculator'!$B$4)</x:f>
        <x:v>0</x:v>
      </x:c>
      <x:c r="K937" t="n">
        <x:f>--AND(J937=1,G937=1)</x:f>
        <x:v>0</x:v>
      </x:c>
      <x:c r="L937" t="str">
        <x:f>A937&amp;"/"&amp;B937&amp;"/"&amp;C937</x:f>
        <x:v>15/9/11</x:v>
      </x:c>
      <x:c r="M937" t="str">
        <x:f>MIN(15,A937+'Calculator'!$B$6)&amp;"/"&amp;MIN(15,B937+'Calculator'!$B$6)&amp;"/"&amp;MIN(15,C937+'Calculator'!$B$6)</x:f>
        <x:v>15/11/13</x:v>
      </x:c>
    </x:row>
    <x:row r="938">
      <x:c r="A938" t="n">
        <x:v>15</x:v>
      </x:c>
      <x:c r="B938" t="n">
        <x:v>9</x:v>
      </x:c>
      <x:c r="C938" t="n">
        <x:v>12</x:v>
      </x:c>
      <x:c r="D938" t="n">
        <x:f>MAX(10,ROUNDDOWN((('Calculator'!$B$10+A938)*SQRT('Calculator'!$B$11+B938)*SQRT('Calculator'!$B$12+C938)*0.59740001^2)/10,0))</x:f>
        <x:v>2335</x:v>
      </x:c>
      <x:c r="E938" t="n">
        <x:f>MAX(10,ROUNDDOWN((('Calculator'!$B$10+A938)*SQRT('Calculator'!$B$11+B938)*SQRT('Calculator'!$B$12+C938)*0.667934^2)/10,0))</x:f>
        <x:v>2919</x:v>
      </x:c>
      <x:c r="F938" t="n">
        <x:f>--AND(A938&gt;='Calculator'!$B$5,B938&gt;='Calculator'!$B$5,C938&gt;='Calculator'!$B$5)</x:f>
        <x:v>1</x:v>
      </x:c>
      <x:c r="G938" t="n">
        <x:f>--AND(A938+'Calculator'!$B$6&gt;=15,B938+'Calculator'!$B$6&gt;=15,C938+'Calculator'!$B$6&gt;=15)</x:f>
        <x:v>0</x:v>
      </x:c>
      <x:c r="H938" t="n">
        <x:f>--AND(F938=1,D938='Calculator'!$B$4)</x:f>
        <x:v>0</x:v>
      </x:c>
      <x:c r="I938" t="n">
        <x:f>--AND(H938=1,G938=1)</x:f>
        <x:v>0</x:v>
      </x:c>
      <x:c r="J938" t="n">
        <x:f>--AND(F938=1,E938='Calculator'!$B$4)</x:f>
        <x:v>0</x:v>
      </x:c>
      <x:c r="K938" t="n">
        <x:f>--AND(J938=1,G938=1)</x:f>
        <x:v>0</x:v>
      </x:c>
      <x:c r="L938" t="str">
        <x:f>A938&amp;"/"&amp;B938&amp;"/"&amp;C938</x:f>
        <x:v>15/9/12</x:v>
      </x:c>
      <x:c r="M938" t="str">
        <x:f>MIN(15,A938+'Calculator'!$B$6)&amp;"/"&amp;MIN(15,B938+'Calculator'!$B$6)&amp;"/"&amp;MIN(15,C938+'Calculator'!$B$6)</x:f>
        <x:v>15/11/14</x:v>
      </x:c>
    </x:row>
    <x:row r="939">
      <x:c r="A939" t="n">
        <x:v>15</x:v>
      </x:c>
      <x:c r="B939" t="n">
        <x:v>9</x:v>
      </x:c>
      <x:c r="C939" t="n">
        <x:v>13</x:v>
      </x:c>
      <x:c r="D939" t="n">
        <x:f>MAX(10,ROUNDDOWN((('Calculator'!$B$10+A939)*SQRT('Calculator'!$B$11+B939)*SQRT('Calculator'!$B$12+C939)*0.59740001^2)/10,0))</x:f>
        <x:v>2340</x:v>
      </x:c>
      <x:c r="E939" t="n">
        <x:f>MAX(10,ROUNDDOWN((('Calculator'!$B$10+A939)*SQRT('Calculator'!$B$11+B939)*SQRT('Calculator'!$B$12+C939)*0.667934^2)/10,0))</x:f>
        <x:v>2926</x:v>
      </x:c>
      <x:c r="F939" t="n">
        <x:f>--AND(A939&gt;='Calculator'!$B$5,B939&gt;='Calculator'!$B$5,C939&gt;='Calculator'!$B$5)</x:f>
        <x:v>1</x:v>
      </x:c>
      <x:c r="G939" t="n">
        <x:f>--AND(A939+'Calculator'!$B$6&gt;=15,B939+'Calculator'!$B$6&gt;=15,C939+'Calculator'!$B$6&gt;=15)</x:f>
        <x:v>0</x:v>
      </x:c>
      <x:c r="H939" t="n">
        <x:f>--AND(F939=1,D939='Calculator'!$B$4)</x:f>
        <x:v>0</x:v>
      </x:c>
      <x:c r="I939" t="n">
        <x:f>--AND(H939=1,G939=1)</x:f>
        <x:v>0</x:v>
      </x:c>
      <x:c r="J939" t="n">
        <x:f>--AND(F939=1,E939='Calculator'!$B$4)</x:f>
        <x:v>0</x:v>
      </x:c>
      <x:c r="K939" t="n">
        <x:f>--AND(J939=1,G939=1)</x:f>
        <x:v>0</x:v>
      </x:c>
      <x:c r="L939" t="str">
        <x:f>A939&amp;"/"&amp;B939&amp;"/"&amp;C939</x:f>
        <x:v>15/9/13</x:v>
      </x:c>
      <x:c r="M939" t="str">
        <x:f>MIN(15,A939+'Calculator'!$B$6)&amp;"/"&amp;MIN(15,B939+'Calculator'!$B$6)&amp;"/"&amp;MIN(15,C939+'Calculator'!$B$6)</x:f>
        <x:v>15/11/15</x:v>
      </x:c>
    </x:row>
    <x:row r="940">
      <x:c r="A940" t="n">
        <x:v>15</x:v>
      </x:c>
      <x:c r="B940" t="n">
        <x:v>9</x:v>
      </x:c>
      <x:c r="C940" t="n">
        <x:v>14</x:v>
      </x:c>
      <x:c r="D940" t="n">
        <x:f>MAX(10,ROUNDDOWN((('Calculator'!$B$10+A940)*SQRT('Calculator'!$B$11+B940)*SQRT('Calculator'!$B$12+C940)*0.59740001^2)/10,0))</x:f>
        <x:v>2345</x:v>
      </x:c>
      <x:c r="E940" t="n">
        <x:f>MAX(10,ROUNDDOWN((('Calculator'!$B$10+A940)*SQRT('Calculator'!$B$11+B940)*SQRT('Calculator'!$B$12+C940)*0.667934^2)/10,0))</x:f>
        <x:v>2932</x:v>
      </x:c>
      <x:c r="F940" t="n">
        <x:f>--AND(A940&gt;='Calculator'!$B$5,B940&gt;='Calculator'!$B$5,C940&gt;='Calculator'!$B$5)</x:f>
        <x:v>1</x:v>
      </x:c>
      <x:c r="G940" t="n">
        <x:f>--AND(A940+'Calculator'!$B$6&gt;=15,B940+'Calculator'!$B$6&gt;=15,C940+'Calculator'!$B$6&gt;=15)</x:f>
        <x:v>0</x:v>
      </x:c>
      <x:c r="H940" t="n">
        <x:f>--AND(F940=1,D940='Calculator'!$B$4)</x:f>
        <x:v>0</x:v>
      </x:c>
      <x:c r="I940" t="n">
        <x:f>--AND(H940=1,G940=1)</x:f>
        <x:v>0</x:v>
      </x:c>
      <x:c r="J940" t="n">
        <x:f>--AND(F940=1,E940='Calculator'!$B$4)</x:f>
        <x:v>0</x:v>
      </x:c>
      <x:c r="K940" t="n">
        <x:f>--AND(J940=1,G940=1)</x:f>
        <x:v>0</x:v>
      </x:c>
      <x:c r="L940" t="str">
        <x:f>A940&amp;"/"&amp;B940&amp;"/"&amp;C940</x:f>
        <x:v>15/9/14</x:v>
      </x:c>
      <x:c r="M940" t="str">
        <x:f>MIN(15,A940+'Calculator'!$B$6)&amp;"/"&amp;MIN(15,B940+'Calculator'!$B$6)&amp;"/"&amp;MIN(15,C940+'Calculator'!$B$6)</x:f>
        <x:v>15/11/15</x:v>
      </x:c>
    </x:row>
    <x:row r="941">
      <x:c r="A941" t="n">
        <x:v>15</x:v>
      </x:c>
      <x:c r="B941" t="n">
        <x:v>9</x:v>
      </x:c>
      <x:c r="C941" t="n">
        <x:v>15</x:v>
      </x:c>
      <x:c r="D941" t="n">
        <x:f>MAX(10,ROUNDDOWN((('Calculator'!$B$10+A941)*SQRT('Calculator'!$B$11+B941)*SQRT('Calculator'!$B$12+C941)*0.59740001^2)/10,0))</x:f>
        <x:v>2351</x:v>
      </x:c>
      <x:c r="E941" t="n">
        <x:f>MAX(10,ROUNDDOWN((('Calculator'!$B$10+A941)*SQRT('Calculator'!$B$11+B941)*SQRT('Calculator'!$B$12+C941)*0.667934^2)/10,0))</x:f>
        <x:v>2939</x:v>
      </x:c>
      <x:c r="F941" t="n">
        <x:f>--AND(A941&gt;='Calculator'!$B$5,B941&gt;='Calculator'!$B$5,C941&gt;='Calculator'!$B$5)</x:f>
        <x:v>1</x:v>
      </x:c>
      <x:c r="G941" t="n">
        <x:f>--AND(A941+'Calculator'!$B$6&gt;=15,B941+'Calculator'!$B$6&gt;=15,C941+'Calculator'!$B$6&gt;=15)</x:f>
        <x:v>0</x:v>
      </x:c>
      <x:c r="H941" t="n">
        <x:f>--AND(F941=1,D941='Calculator'!$B$4)</x:f>
        <x:v>0</x:v>
      </x:c>
      <x:c r="I941" t="n">
        <x:f>--AND(H941=1,G941=1)</x:f>
        <x:v>0</x:v>
      </x:c>
      <x:c r="J941" t="n">
        <x:f>--AND(F941=1,E941='Calculator'!$B$4)</x:f>
        <x:v>0</x:v>
      </x:c>
      <x:c r="K941" t="n">
        <x:f>--AND(J941=1,G941=1)</x:f>
        <x:v>0</x:v>
      </x:c>
      <x:c r="L941" t="str">
        <x:f>A941&amp;"/"&amp;B941&amp;"/"&amp;C941</x:f>
        <x:v>15/9/15</x:v>
      </x:c>
      <x:c r="M941" t="str">
        <x:f>MIN(15,A941+'Calculator'!$B$6)&amp;"/"&amp;MIN(15,B941+'Calculator'!$B$6)&amp;"/"&amp;MIN(15,C941+'Calculator'!$B$6)</x:f>
        <x:v>15/11/15</x:v>
      </x:c>
    </x:row>
    <x:row r="942">
      <x:c r="A942" t="n">
        <x:v>15</x:v>
      </x:c>
      <x:c r="B942" t="n">
        <x:v>10</x:v>
      </x:c>
      <x:c r="C942" t="n">
        <x:v>6</x:v>
      </x:c>
      <x:c r="D942" t="n">
        <x:f>MAX(10,ROUNDDOWN((('Calculator'!$B$10+A942)*SQRT('Calculator'!$B$11+B942)*SQRT('Calculator'!$B$12+C942)*0.59740001^2)/10,0))</x:f>
        <x:v>2310</x:v>
      </x:c>
      <x:c r="E942" t="n">
        <x:f>MAX(10,ROUNDDOWN((('Calculator'!$B$10+A942)*SQRT('Calculator'!$B$11+B942)*SQRT('Calculator'!$B$12+C942)*0.667934^2)/10,0))</x:f>
        <x:v>2888</x:v>
      </x:c>
      <x:c r="F942" t="n">
        <x:f>--AND(A942&gt;='Calculator'!$B$5,B942&gt;='Calculator'!$B$5,C942&gt;='Calculator'!$B$5)</x:f>
        <x:v>1</x:v>
      </x:c>
      <x:c r="G942" t="n">
        <x:f>--AND(A942+'Calculator'!$B$6&gt;=15,B942+'Calculator'!$B$6&gt;=15,C942+'Calculator'!$B$6&gt;=15)</x:f>
        <x:v>0</x:v>
      </x:c>
      <x:c r="H942" t="n">
        <x:f>--AND(F942=1,D942='Calculator'!$B$4)</x:f>
        <x:v>0</x:v>
      </x:c>
      <x:c r="I942" t="n">
        <x:f>--AND(H942=1,G942=1)</x:f>
        <x:v>0</x:v>
      </x:c>
      <x:c r="J942" t="n">
        <x:f>--AND(F942=1,E942='Calculator'!$B$4)</x:f>
        <x:v>0</x:v>
      </x:c>
      <x:c r="K942" t="n">
        <x:f>--AND(J942=1,G942=1)</x:f>
        <x:v>0</x:v>
      </x:c>
      <x:c r="L942" t="str">
        <x:f>A942&amp;"/"&amp;B942&amp;"/"&amp;C942</x:f>
        <x:v>15/10/6</x:v>
      </x:c>
      <x:c r="M942" t="str">
        <x:f>MIN(15,A942+'Calculator'!$B$6)&amp;"/"&amp;MIN(15,B942+'Calculator'!$B$6)&amp;"/"&amp;MIN(15,C942+'Calculator'!$B$6)</x:f>
        <x:v>15/12/8</x:v>
      </x:c>
    </x:row>
    <x:row r="943">
      <x:c r="A943" t="n">
        <x:v>15</x:v>
      </x:c>
      <x:c r="B943" t="n">
        <x:v>10</x:v>
      </x:c>
      <x:c r="C943" t="n">
        <x:v>7</x:v>
      </x:c>
      <x:c r="D943" t="n">
        <x:f>MAX(10,ROUNDDOWN((('Calculator'!$B$10+A943)*SQRT('Calculator'!$B$11+B943)*SQRT('Calculator'!$B$12+C943)*0.59740001^2)/10,0))</x:f>
        <x:v>2315</x:v>
      </x:c>
      <x:c r="E943" t="n">
        <x:f>MAX(10,ROUNDDOWN((('Calculator'!$B$10+A943)*SQRT('Calculator'!$B$11+B943)*SQRT('Calculator'!$B$12+C943)*0.667934^2)/10,0))</x:f>
        <x:v>2894</x:v>
      </x:c>
      <x:c r="F943" t="n">
        <x:f>--AND(A943&gt;='Calculator'!$B$5,B943&gt;='Calculator'!$B$5,C943&gt;='Calculator'!$B$5)</x:f>
        <x:v>1</x:v>
      </x:c>
      <x:c r="G943" t="n">
        <x:f>--AND(A943+'Calculator'!$B$6&gt;=15,B943+'Calculator'!$B$6&gt;=15,C943+'Calculator'!$B$6&gt;=15)</x:f>
        <x:v>0</x:v>
      </x:c>
      <x:c r="H943" t="n">
        <x:f>--AND(F943=1,D943='Calculator'!$B$4)</x:f>
        <x:v>0</x:v>
      </x:c>
      <x:c r="I943" t="n">
        <x:f>--AND(H943=1,G943=1)</x:f>
        <x:v>0</x:v>
      </x:c>
      <x:c r="J943" t="n">
        <x:f>--AND(F943=1,E943='Calculator'!$B$4)</x:f>
        <x:v>0</x:v>
      </x:c>
      <x:c r="K943" t="n">
        <x:f>--AND(J943=1,G943=1)</x:f>
        <x:v>0</x:v>
      </x:c>
      <x:c r="L943" t="str">
        <x:f>A943&amp;"/"&amp;B943&amp;"/"&amp;C943</x:f>
        <x:v>15/10/7</x:v>
      </x:c>
      <x:c r="M943" t="str">
        <x:f>MIN(15,A943+'Calculator'!$B$6)&amp;"/"&amp;MIN(15,B943+'Calculator'!$B$6)&amp;"/"&amp;MIN(15,C943+'Calculator'!$B$6)</x:f>
        <x:v>15/12/9</x:v>
      </x:c>
    </x:row>
    <x:row r="944">
      <x:c r="A944" t="n">
        <x:v>15</x:v>
      </x:c>
      <x:c r="B944" t="n">
        <x:v>10</x:v>
      </x:c>
      <x:c r="C944" t="n">
        <x:v>8</x:v>
      </x:c>
      <x:c r="D944" t="n">
        <x:f>MAX(10,ROUNDDOWN((('Calculator'!$B$10+A944)*SQRT('Calculator'!$B$11+B944)*SQRT('Calculator'!$B$12+C944)*0.59740001^2)/10,0))</x:f>
        <x:v>2320</x:v>
      </x:c>
      <x:c r="E944" t="n">
        <x:f>MAX(10,ROUNDDOWN((('Calculator'!$B$10+A944)*SQRT('Calculator'!$B$11+B944)*SQRT('Calculator'!$B$12+C944)*0.667934^2)/10,0))</x:f>
        <x:v>2901</x:v>
      </x:c>
      <x:c r="F944" t="n">
        <x:f>--AND(A944&gt;='Calculator'!$B$5,B944&gt;='Calculator'!$B$5,C944&gt;='Calculator'!$B$5)</x:f>
        <x:v>1</x:v>
      </x:c>
      <x:c r="G944" t="n">
        <x:f>--AND(A944+'Calculator'!$B$6&gt;=15,B944+'Calculator'!$B$6&gt;=15,C944+'Calculator'!$B$6&gt;=15)</x:f>
        <x:v>0</x:v>
      </x:c>
      <x:c r="H944" t="n">
        <x:f>--AND(F944=1,D944='Calculator'!$B$4)</x:f>
        <x:v>0</x:v>
      </x:c>
      <x:c r="I944" t="n">
        <x:f>--AND(H944=1,G944=1)</x:f>
        <x:v>0</x:v>
      </x:c>
      <x:c r="J944" t="n">
        <x:f>--AND(F944=1,E944='Calculator'!$B$4)</x:f>
        <x:v>0</x:v>
      </x:c>
      <x:c r="K944" t="n">
        <x:f>--AND(J944=1,G944=1)</x:f>
        <x:v>0</x:v>
      </x:c>
      <x:c r="L944" t="str">
        <x:f>A944&amp;"/"&amp;B944&amp;"/"&amp;C944</x:f>
        <x:v>15/10/8</x:v>
      </x:c>
      <x:c r="M944" t="str">
        <x:f>MIN(15,A944+'Calculator'!$B$6)&amp;"/"&amp;MIN(15,B944+'Calculator'!$B$6)&amp;"/"&amp;MIN(15,C944+'Calculator'!$B$6)</x:f>
        <x:v>15/12/10</x:v>
      </x:c>
    </x:row>
    <x:row r="945">
      <x:c r="A945" t="n">
        <x:v>15</x:v>
      </x:c>
      <x:c r="B945" t="n">
        <x:v>10</x:v>
      </x:c>
      <x:c r="C945" t="n">
        <x:v>9</x:v>
      </x:c>
      <x:c r="D945" t="n">
        <x:f>MAX(10,ROUNDDOWN((('Calculator'!$B$10+A945)*SQRT('Calculator'!$B$11+B945)*SQRT('Calculator'!$B$12+C945)*0.59740001^2)/10,0))</x:f>
        <x:v>2326</x:v>
      </x:c>
      <x:c r="E945" t="n">
        <x:f>MAX(10,ROUNDDOWN((('Calculator'!$B$10+A945)*SQRT('Calculator'!$B$11+B945)*SQRT('Calculator'!$B$12+C945)*0.667934^2)/10,0))</x:f>
        <x:v>2907</x:v>
      </x:c>
      <x:c r="F945" t="n">
        <x:f>--AND(A945&gt;='Calculator'!$B$5,B945&gt;='Calculator'!$B$5,C945&gt;='Calculator'!$B$5)</x:f>
        <x:v>1</x:v>
      </x:c>
      <x:c r="G945" t="n">
        <x:f>--AND(A945+'Calculator'!$B$6&gt;=15,B945+'Calculator'!$B$6&gt;=15,C945+'Calculator'!$B$6&gt;=15)</x:f>
        <x:v>0</x:v>
      </x:c>
      <x:c r="H945" t="n">
        <x:f>--AND(F945=1,D945='Calculator'!$B$4)</x:f>
        <x:v>0</x:v>
      </x:c>
      <x:c r="I945" t="n">
        <x:f>--AND(H945=1,G945=1)</x:f>
        <x:v>0</x:v>
      </x:c>
      <x:c r="J945" t="n">
        <x:f>--AND(F945=1,E945='Calculator'!$B$4)</x:f>
        <x:v>0</x:v>
      </x:c>
      <x:c r="K945" t="n">
        <x:f>--AND(J945=1,G945=1)</x:f>
        <x:v>0</x:v>
      </x:c>
      <x:c r="L945" t="str">
        <x:f>A945&amp;"/"&amp;B945&amp;"/"&amp;C945</x:f>
        <x:v>15/10/9</x:v>
      </x:c>
      <x:c r="M945" t="str">
        <x:f>MIN(15,A945+'Calculator'!$B$6)&amp;"/"&amp;MIN(15,B945+'Calculator'!$B$6)&amp;"/"&amp;MIN(15,C945+'Calculator'!$B$6)</x:f>
        <x:v>15/12/11</x:v>
      </x:c>
    </x:row>
    <x:row r="946">
      <x:c r="A946" t="n">
        <x:v>15</x:v>
      </x:c>
      <x:c r="B946" t="n">
        <x:v>10</x:v>
      </x:c>
      <x:c r="C946" t="n">
        <x:v>10</x:v>
      </x:c>
      <x:c r="D946" t="n">
        <x:f>MAX(10,ROUNDDOWN((('Calculator'!$B$10+A946)*SQRT('Calculator'!$B$11+B946)*SQRT('Calculator'!$B$12+C946)*0.59740001^2)/10,0))</x:f>
        <x:v>2331</x:v>
      </x:c>
      <x:c r="E946" t="n">
        <x:f>MAX(10,ROUNDDOWN((('Calculator'!$B$10+A946)*SQRT('Calculator'!$B$11+B946)*SQRT('Calculator'!$B$12+C946)*0.667934^2)/10,0))</x:f>
        <x:v>2914</x:v>
      </x:c>
      <x:c r="F946" t="n">
        <x:f>--AND(A946&gt;='Calculator'!$B$5,B946&gt;='Calculator'!$B$5,C946&gt;='Calculator'!$B$5)</x:f>
        <x:v>1</x:v>
      </x:c>
      <x:c r="G946" t="n">
        <x:f>--AND(A946+'Calculator'!$B$6&gt;=15,B946+'Calculator'!$B$6&gt;=15,C946+'Calculator'!$B$6&gt;=15)</x:f>
        <x:v>0</x:v>
      </x:c>
      <x:c r="H946" t="n">
        <x:f>--AND(F946=1,D946='Calculator'!$B$4)</x:f>
        <x:v>0</x:v>
      </x:c>
      <x:c r="I946" t="n">
        <x:f>--AND(H946=1,G946=1)</x:f>
        <x:v>0</x:v>
      </x:c>
      <x:c r="J946" t="n">
        <x:f>--AND(F946=1,E946='Calculator'!$B$4)</x:f>
        <x:v>0</x:v>
      </x:c>
      <x:c r="K946" t="n">
        <x:f>--AND(J946=1,G946=1)</x:f>
        <x:v>0</x:v>
      </x:c>
      <x:c r="L946" t="str">
        <x:f>A946&amp;"/"&amp;B946&amp;"/"&amp;C946</x:f>
        <x:v>15/10/10</x:v>
      </x:c>
      <x:c r="M946" t="str">
        <x:f>MIN(15,A946+'Calculator'!$B$6)&amp;"/"&amp;MIN(15,B946+'Calculator'!$B$6)&amp;"/"&amp;MIN(15,C946+'Calculator'!$B$6)</x:f>
        <x:v>15/12/12</x:v>
      </x:c>
    </x:row>
    <x:row r="947">
      <x:c r="A947" t="n">
        <x:v>15</x:v>
      </x:c>
      <x:c r="B947" t="n">
        <x:v>10</x:v>
      </x:c>
      <x:c r="C947" t="n">
        <x:v>11</x:v>
      </x:c>
      <x:c r="D947" t="n">
        <x:f>MAX(10,ROUNDDOWN((('Calculator'!$B$10+A947)*SQRT('Calculator'!$B$11+B947)*SQRT('Calculator'!$B$12+C947)*0.59740001^2)/10,0))</x:f>
        <x:v>2336</x:v>
      </x:c>
      <x:c r="E947" t="n">
        <x:f>MAX(10,ROUNDDOWN((('Calculator'!$B$10+A947)*SQRT('Calculator'!$B$11+B947)*SQRT('Calculator'!$B$12+C947)*0.667934^2)/10,0))</x:f>
        <x:v>2920</x:v>
      </x:c>
      <x:c r="F947" t="n">
        <x:f>--AND(A947&gt;='Calculator'!$B$5,B947&gt;='Calculator'!$B$5,C947&gt;='Calculator'!$B$5)</x:f>
        <x:v>1</x:v>
      </x:c>
      <x:c r="G947" t="n">
        <x:f>--AND(A947+'Calculator'!$B$6&gt;=15,B947+'Calculator'!$B$6&gt;=15,C947+'Calculator'!$B$6&gt;=15)</x:f>
        <x:v>0</x:v>
      </x:c>
      <x:c r="H947" t="n">
        <x:f>--AND(F947=1,D947='Calculator'!$B$4)</x:f>
        <x:v>0</x:v>
      </x:c>
      <x:c r="I947" t="n">
        <x:f>--AND(H947=1,G947=1)</x:f>
        <x:v>0</x:v>
      </x:c>
      <x:c r="J947" t="n">
        <x:f>--AND(F947=1,E947='Calculator'!$B$4)</x:f>
        <x:v>0</x:v>
      </x:c>
      <x:c r="K947" t="n">
        <x:f>--AND(J947=1,G947=1)</x:f>
        <x:v>0</x:v>
      </x:c>
      <x:c r="L947" t="str">
        <x:f>A947&amp;"/"&amp;B947&amp;"/"&amp;C947</x:f>
        <x:v>15/10/11</x:v>
      </x:c>
      <x:c r="M947" t="str">
        <x:f>MIN(15,A947+'Calculator'!$B$6)&amp;"/"&amp;MIN(15,B947+'Calculator'!$B$6)&amp;"/"&amp;MIN(15,C947+'Calculator'!$B$6)</x:f>
        <x:v>15/12/13</x:v>
      </x:c>
    </x:row>
    <x:row r="948">
      <x:c r="A948" t="n">
        <x:v>15</x:v>
      </x:c>
      <x:c r="B948" t="n">
        <x:v>10</x:v>
      </x:c>
      <x:c r="C948" t="n">
        <x:v>12</x:v>
      </x:c>
      <x:c r="D948" t="n">
        <x:f>MAX(10,ROUNDDOWN((('Calculator'!$B$10+A948)*SQRT('Calculator'!$B$11+B948)*SQRT('Calculator'!$B$12+C948)*0.59740001^2)/10,0))</x:f>
        <x:v>2341</x:v>
      </x:c>
      <x:c r="E948" t="n">
        <x:f>MAX(10,ROUNDDOWN((('Calculator'!$B$10+A948)*SQRT('Calculator'!$B$11+B948)*SQRT('Calculator'!$B$12+C948)*0.667934^2)/10,0))</x:f>
        <x:v>2927</x:v>
      </x:c>
      <x:c r="F948" t="n">
        <x:f>--AND(A948&gt;='Calculator'!$B$5,B948&gt;='Calculator'!$B$5,C948&gt;='Calculator'!$B$5)</x:f>
        <x:v>1</x:v>
      </x:c>
      <x:c r="G948" t="n">
        <x:f>--AND(A948+'Calculator'!$B$6&gt;=15,B948+'Calculator'!$B$6&gt;=15,C948+'Calculator'!$B$6&gt;=15)</x:f>
        <x:v>0</x:v>
      </x:c>
      <x:c r="H948" t="n">
        <x:f>--AND(F948=1,D948='Calculator'!$B$4)</x:f>
        <x:v>0</x:v>
      </x:c>
      <x:c r="I948" t="n">
        <x:f>--AND(H948=1,G948=1)</x:f>
        <x:v>0</x:v>
      </x:c>
      <x:c r="J948" t="n">
        <x:f>--AND(F948=1,E948='Calculator'!$B$4)</x:f>
        <x:v>0</x:v>
      </x:c>
      <x:c r="K948" t="n">
        <x:f>--AND(J948=1,G948=1)</x:f>
        <x:v>0</x:v>
      </x:c>
      <x:c r="L948" t="str">
        <x:f>A948&amp;"/"&amp;B948&amp;"/"&amp;C948</x:f>
        <x:v>15/10/12</x:v>
      </x:c>
      <x:c r="M948" t="str">
        <x:f>MIN(15,A948+'Calculator'!$B$6)&amp;"/"&amp;MIN(15,B948+'Calculator'!$B$6)&amp;"/"&amp;MIN(15,C948+'Calculator'!$B$6)</x:f>
        <x:v>15/12/14</x:v>
      </x:c>
    </x:row>
    <x:row r="949">
      <x:c r="A949" t="n">
        <x:v>15</x:v>
      </x:c>
      <x:c r="B949" t="n">
        <x:v>10</x:v>
      </x:c>
      <x:c r="C949" t="n">
        <x:v>13</x:v>
      </x:c>
      <x:c r="D949" t="n">
        <x:f>MAX(10,ROUNDDOWN((('Calculator'!$B$10+A949)*SQRT('Calculator'!$B$11+B949)*SQRT('Calculator'!$B$12+C949)*0.59740001^2)/10,0))</x:f>
        <x:v>2346</x:v>
      </x:c>
      <x:c r="E949" t="n">
        <x:f>MAX(10,ROUNDDOWN((('Calculator'!$B$10+A949)*SQRT('Calculator'!$B$11+B949)*SQRT('Calculator'!$B$12+C949)*0.667934^2)/10,0))</x:f>
        <x:v>2933</x:v>
      </x:c>
      <x:c r="F949" t="n">
        <x:f>--AND(A949&gt;='Calculator'!$B$5,B949&gt;='Calculator'!$B$5,C949&gt;='Calculator'!$B$5)</x:f>
        <x:v>1</x:v>
      </x:c>
      <x:c r="G949" t="n">
        <x:f>--AND(A949+'Calculator'!$B$6&gt;=15,B949+'Calculator'!$B$6&gt;=15,C949+'Calculator'!$B$6&gt;=15)</x:f>
        <x:v>0</x:v>
      </x:c>
      <x:c r="H949" t="n">
        <x:f>--AND(F949=1,D949='Calculator'!$B$4)</x:f>
        <x:v>0</x:v>
      </x:c>
      <x:c r="I949" t="n">
        <x:f>--AND(H949=1,G949=1)</x:f>
        <x:v>0</x:v>
      </x:c>
      <x:c r="J949" t="n">
        <x:f>--AND(F949=1,E949='Calculator'!$B$4)</x:f>
        <x:v>0</x:v>
      </x:c>
      <x:c r="K949" t="n">
        <x:f>--AND(J949=1,G949=1)</x:f>
        <x:v>0</x:v>
      </x:c>
      <x:c r="L949" t="str">
        <x:f>A949&amp;"/"&amp;B949&amp;"/"&amp;C949</x:f>
        <x:v>15/10/13</x:v>
      </x:c>
      <x:c r="M949" t="str">
        <x:f>MIN(15,A949+'Calculator'!$B$6)&amp;"/"&amp;MIN(15,B949+'Calculator'!$B$6)&amp;"/"&amp;MIN(15,C949+'Calculator'!$B$6)</x:f>
        <x:v>15/12/15</x:v>
      </x:c>
    </x:row>
    <x:row r="950">
      <x:c r="A950" t="n">
        <x:v>15</x:v>
      </x:c>
      <x:c r="B950" t="n">
        <x:v>10</x:v>
      </x:c>
      <x:c r="C950" t="n">
        <x:v>14</x:v>
      </x:c>
      <x:c r="D950" t="n">
        <x:f>MAX(10,ROUNDDOWN((('Calculator'!$B$10+A950)*SQRT('Calculator'!$B$11+B950)*SQRT('Calculator'!$B$12+C950)*0.59740001^2)/10,0))</x:f>
        <x:v>2352</x:v>
      </x:c>
      <x:c r="E950" t="n">
        <x:f>MAX(10,ROUNDDOWN((('Calculator'!$B$10+A950)*SQRT('Calculator'!$B$11+B950)*SQRT('Calculator'!$B$12+C950)*0.667934^2)/10,0))</x:f>
        <x:v>2940</x:v>
      </x:c>
      <x:c r="F950" t="n">
        <x:f>--AND(A950&gt;='Calculator'!$B$5,B950&gt;='Calculator'!$B$5,C950&gt;='Calculator'!$B$5)</x:f>
        <x:v>1</x:v>
      </x:c>
      <x:c r="G950" t="n">
        <x:f>--AND(A950+'Calculator'!$B$6&gt;=15,B950+'Calculator'!$B$6&gt;=15,C950+'Calculator'!$B$6&gt;=15)</x:f>
        <x:v>0</x:v>
      </x:c>
      <x:c r="H950" t="n">
        <x:f>--AND(F950=1,D950='Calculator'!$B$4)</x:f>
        <x:v>0</x:v>
      </x:c>
      <x:c r="I950" t="n">
        <x:f>--AND(H950=1,G950=1)</x:f>
        <x:v>0</x:v>
      </x:c>
      <x:c r="J950" t="n">
        <x:f>--AND(F950=1,E950='Calculator'!$B$4)</x:f>
        <x:v>0</x:v>
      </x:c>
      <x:c r="K950" t="n">
        <x:f>--AND(J950=1,G950=1)</x:f>
        <x:v>0</x:v>
      </x:c>
      <x:c r="L950" t="str">
        <x:f>A950&amp;"/"&amp;B950&amp;"/"&amp;C950</x:f>
        <x:v>15/10/14</x:v>
      </x:c>
      <x:c r="M950" t="str">
        <x:f>MIN(15,A950+'Calculator'!$B$6)&amp;"/"&amp;MIN(15,B950+'Calculator'!$B$6)&amp;"/"&amp;MIN(15,C950+'Calculator'!$B$6)</x:f>
        <x:v>15/12/15</x:v>
      </x:c>
    </x:row>
    <x:row r="951">
      <x:c r="A951" t="n">
        <x:v>15</x:v>
      </x:c>
      <x:c r="B951" t="n">
        <x:v>10</x:v>
      </x:c>
      <x:c r="C951" t="n">
        <x:v>15</x:v>
      </x:c>
      <x:c r="D951" t="n">
        <x:f>MAX(10,ROUNDDOWN((('Calculator'!$B$10+A951)*SQRT('Calculator'!$B$11+B951)*SQRT('Calculator'!$B$12+C951)*0.59740001^2)/10,0))</x:f>
        <x:v>2357</x:v>
      </x:c>
      <x:c r="E951" t="n">
        <x:f>MAX(10,ROUNDDOWN((('Calculator'!$B$10+A951)*SQRT('Calculator'!$B$11+B951)*SQRT('Calculator'!$B$12+C951)*0.667934^2)/10,0))</x:f>
        <x:v>2946</x:v>
      </x:c>
      <x:c r="F951" t="n">
        <x:f>--AND(A951&gt;='Calculator'!$B$5,B951&gt;='Calculator'!$B$5,C951&gt;='Calculator'!$B$5)</x:f>
        <x:v>1</x:v>
      </x:c>
      <x:c r="G951" t="n">
        <x:f>--AND(A951+'Calculator'!$B$6&gt;=15,B951+'Calculator'!$B$6&gt;=15,C951+'Calculator'!$B$6&gt;=15)</x:f>
        <x:v>0</x:v>
      </x:c>
      <x:c r="H951" t="n">
        <x:f>--AND(F951=1,D951='Calculator'!$B$4)</x:f>
        <x:v>0</x:v>
      </x:c>
      <x:c r="I951" t="n">
        <x:f>--AND(H951=1,G951=1)</x:f>
        <x:v>0</x:v>
      </x:c>
      <x:c r="J951" t="n">
        <x:f>--AND(F951=1,E951='Calculator'!$B$4)</x:f>
        <x:v>0</x:v>
      </x:c>
      <x:c r="K951" t="n">
        <x:f>--AND(J951=1,G951=1)</x:f>
        <x:v>0</x:v>
      </x:c>
      <x:c r="L951" t="str">
        <x:f>A951&amp;"/"&amp;B951&amp;"/"&amp;C951</x:f>
        <x:v>15/10/15</x:v>
      </x:c>
      <x:c r="M951" t="str">
        <x:f>MIN(15,A951+'Calculator'!$B$6)&amp;"/"&amp;MIN(15,B951+'Calculator'!$B$6)&amp;"/"&amp;MIN(15,C951+'Calculator'!$B$6)</x:f>
        <x:v>15/12/15</x:v>
      </x:c>
    </x:row>
    <x:row r="952">
      <x:c r="A952" t="n">
        <x:v>15</x:v>
      </x:c>
      <x:c r="B952" t="n">
        <x:v>11</x:v>
      </x:c>
      <x:c r="C952" t="n">
        <x:v>6</x:v>
      </x:c>
      <x:c r="D952" t="n">
        <x:f>MAX(10,ROUNDDOWN((('Calculator'!$B$10+A952)*SQRT('Calculator'!$B$11+B952)*SQRT('Calculator'!$B$12+C952)*0.59740001^2)/10,0))</x:f>
        <x:v>2316</x:v>
      </x:c>
      <x:c r="E952" t="n">
        <x:f>MAX(10,ROUNDDOWN((('Calculator'!$B$10+A952)*SQRT('Calculator'!$B$11+B952)*SQRT('Calculator'!$B$12+C952)*0.667934^2)/10,0))</x:f>
        <x:v>2895</x:v>
      </x:c>
      <x:c r="F952" t="n">
        <x:f>--AND(A952&gt;='Calculator'!$B$5,B952&gt;='Calculator'!$B$5,C952&gt;='Calculator'!$B$5)</x:f>
        <x:v>1</x:v>
      </x:c>
      <x:c r="G952" t="n">
        <x:f>--AND(A952+'Calculator'!$B$6&gt;=15,B952+'Calculator'!$B$6&gt;=15,C952+'Calculator'!$B$6&gt;=15)</x:f>
        <x:v>0</x:v>
      </x:c>
      <x:c r="H952" t="n">
        <x:f>--AND(F952=1,D952='Calculator'!$B$4)</x:f>
        <x:v>0</x:v>
      </x:c>
      <x:c r="I952" t="n">
        <x:f>--AND(H952=1,G952=1)</x:f>
        <x:v>0</x:v>
      </x:c>
      <x:c r="J952" t="n">
        <x:f>--AND(F952=1,E952='Calculator'!$B$4)</x:f>
        <x:v>0</x:v>
      </x:c>
      <x:c r="K952" t="n">
        <x:f>--AND(J952=1,G952=1)</x:f>
        <x:v>0</x:v>
      </x:c>
      <x:c r="L952" t="str">
        <x:f>A952&amp;"/"&amp;B952&amp;"/"&amp;C952</x:f>
        <x:v>15/11/6</x:v>
      </x:c>
      <x:c r="M952" t="str">
        <x:f>MIN(15,A952+'Calculator'!$B$6)&amp;"/"&amp;MIN(15,B952+'Calculator'!$B$6)&amp;"/"&amp;MIN(15,C952+'Calculator'!$B$6)</x:f>
        <x:v>15/13/8</x:v>
      </x:c>
    </x:row>
    <x:row r="953">
      <x:c r="A953" t="n">
        <x:v>15</x:v>
      </x:c>
      <x:c r="B953" t="n">
        <x:v>11</x:v>
      </x:c>
      <x:c r="C953" t="n">
        <x:v>7</x:v>
      </x:c>
      <x:c r="D953" t="n">
        <x:f>MAX(10,ROUNDDOWN((('Calculator'!$B$10+A953)*SQRT('Calculator'!$B$11+B953)*SQRT('Calculator'!$B$12+C953)*0.59740001^2)/10,0))</x:f>
        <x:v>2321</x:v>
      </x:c>
      <x:c r="E953" t="n">
        <x:f>MAX(10,ROUNDDOWN((('Calculator'!$B$10+A953)*SQRT('Calculator'!$B$11+B953)*SQRT('Calculator'!$B$12+C953)*0.667934^2)/10,0))</x:f>
        <x:v>2902</x:v>
      </x:c>
      <x:c r="F953" t="n">
        <x:f>--AND(A953&gt;='Calculator'!$B$5,B953&gt;='Calculator'!$B$5,C953&gt;='Calculator'!$B$5)</x:f>
        <x:v>1</x:v>
      </x:c>
      <x:c r="G953" t="n">
        <x:f>--AND(A953+'Calculator'!$B$6&gt;=15,B953+'Calculator'!$B$6&gt;=15,C953+'Calculator'!$B$6&gt;=15)</x:f>
        <x:v>0</x:v>
      </x:c>
      <x:c r="H953" t="n">
        <x:f>--AND(F953=1,D953='Calculator'!$B$4)</x:f>
        <x:v>0</x:v>
      </x:c>
      <x:c r="I953" t="n">
        <x:f>--AND(H953=1,G953=1)</x:f>
        <x:v>0</x:v>
      </x:c>
      <x:c r="J953" t="n">
        <x:f>--AND(F953=1,E953='Calculator'!$B$4)</x:f>
        <x:v>0</x:v>
      </x:c>
      <x:c r="K953" t="n">
        <x:f>--AND(J953=1,G953=1)</x:f>
        <x:v>0</x:v>
      </x:c>
      <x:c r="L953" t="str">
        <x:f>A953&amp;"/"&amp;B953&amp;"/"&amp;C953</x:f>
        <x:v>15/11/7</x:v>
      </x:c>
      <x:c r="M953" t="str">
        <x:f>MIN(15,A953+'Calculator'!$B$6)&amp;"/"&amp;MIN(15,B953+'Calculator'!$B$6)&amp;"/"&amp;MIN(15,C953+'Calculator'!$B$6)</x:f>
        <x:v>15/13/9</x:v>
      </x:c>
    </x:row>
    <x:row r="954">
      <x:c r="A954" t="n">
        <x:v>15</x:v>
      </x:c>
      <x:c r="B954" t="n">
        <x:v>11</x:v>
      </x:c>
      <x:c r="C954" t="n">
        <x:v>8</x:v>
      </x:c>
      <x:c r="D954" t="n">
        <x:f>MAX(10,ROUNDDOWN((('Calculator'!$B$10+A954)*SQRT('Calculator'!$B$11+B954)*SQRT('Calculator'!$B$12+C954)*0.59740001^2)/10,0))</x:f>
        <x:v>2326</x:v>
      </x:c>
      <x:c r="E954" t="n">
        <x:f>MAX(10,ROUNDDOWN((('Calculator'!$B$10+A954)*SQRT('Calculator'!$B$11+B954)*SQRT('Calculator'!$B$12+C954)*0.667934^2)/10,0))</x:f>
        <x:v>2908</x:v>
      </x:c>
      <x:c r="F954" t="n">
        <x:f>--AND(A954&gt;='Calculator'!$B$5,B954&gt;='Calculator'!$B$5,C954&gt;='Calculator'!$B$5)</x:f>
        <x:v>1</x:v>
      </x:c>
      <x:c r="G954" t="n">
        <x:f>--AND(A954+'Calculator'!$B$6&gt;=15,B954+'Calculator'!$B$6&gt;=15,C954+'Calculator'!$B$6&gt;=15)</x:f>
        <x:v>0</x:v>
      </x:c>
      <x:c r="H954" t="n">
        <x:f>--AND(F954=1,D954='Calculator'!$B$4)</x:f>
        <x:v>0</x:v>
      </x:c>
      <x:c r="I954" t="n">
        <x:f>--AND(H954=1,G954=1)</x:f>
        <x:v>0</x:v>
      </x:c>
      <x:c r="J954" t="n">
        <x:f>--AND(F954=1,E954='Calculator'!$B$4)</x:f>
        <x:v>0</x:v>
      </x:c>
      <x:c r="K954" t="n">
        <x:f>--AND(J954=1,G954=1)</x:f>
        <x:v>0</x:v>
      </x:c>
      <x:c r="L954" t="str">
        <x:f>A954&amp;"/"&amp;B954&amp;"/"&amp;C954</x:f>
        <x:v>15/11/8</x:v>
      </x:c>
      <x:c r="M954" t="str">
        <x:f>MIN(15,A954+'Calculator'!$B$6)&amp;"/"&amp;MIN(15,B954+'Calculator'!$B$6)&amp;"/"&amp;MIN(15,C954+'Calculator'!$B$6)</x:f>
        <x:v>15/13/10</x:v>
      </x:c>
    </x:row>
    <x:row r="955">
      <x:c r="A955" t="n">
        <x:v>15</x:v>
      </x:c>
      <x:c r="B955" t="n">
        <x:v>11</x:v>
      </x:c>
      <x:c r="C955" t="n">
        <x:v>9</x:v>
      </x:c>
      <x:c r="D955" t="n">
        <x:f>MAX(10,ROUNDDOWN((('Calculator'!$B$10+A955)*SQRT('Calculator'!$B$11+B955)*SQRT('Calculator'!$B$12+C955)*0.59740001^2)/10,0))</x:f>
        <x:v>2332</x:v>
      </x:c>
      <x:c r="E955" t="n">
        <x:f>MAX(10,ROUNDDOWN((('Calculator'!$B$10+A955)*SQRT('Calculator'!$B$11+B955)*SQRT('Calculator'!$B$12+C955)*0.667934^2)/10,0))</x:f>
        <x:v>2915</x:v>
      </x:c>
      <x:c r="F955" t="n">
        <x:f>--AND(A955&gt;='Calculator'!$B$5,B955&gt;='Calculator'!$B$5,C955&gt;='Calculator'!$B$5)</x:f>
        <x:v>1</x:v>
      </x:c>
      <x:c r="G955" t="n">
        <x:f>--AND(A955+'Calculator'!$B$6&gt;=15,B955+'Calculator'!$B$6&gt;=15,C955+'Calculator'!$B$6&gt;=15)</x:f>
        <x:v>0</x:v>
      </x:c>
      <x:c r="H955" t="n">
        <x:f>--AND(F955=1,D955='Calculator'!$B$4)</x:f>
        <x:v>0</x:v>
      </x:c>
      <x:c r="I955" t="n">
        <x:f>--AND(H955=1,G955=1)</x:f>
        <x:v>0</x:v>
      </x:c>
      <x:c r="J955" t="n">
        <x:f>--AND(F955=1,E955='Calculator'!$B$4)</x:f>
        <x:v>0</x:v>
      </x:c>
      <x:c r="K955" t="n">
        <x:f>--AND(J955=1,G955=1)</x:f>
        <x:v>0</x:v>
      </x:c>
      <x:c r="L955" t="str">
        <x:f>A955&amp;"/"&amp;B955&amp;"/"&amp;C955</x:f>
        <x:v>15/11/9</x:v>
      </x:c>
      <x:c r="M955" t="str">
        <x:f>MIN(15,A955+'Calculator'!$B$6)&amp;"/"&amp;MIN(15,B955+'Calculator'!$B$6)&amp;"/"&amp;MIN(15,C955+'Calculator'!$B$6)</x:f>
        <x:v>15/13/11</x:v>
      </x:c>
    </x:row>
    <x:row r="956">
      <x:c r="A956" t="n">
        <x:v>15</x:v>
      </x:c>
      <x:c r="B956" t="n">
        <x:v>11</x:v>
      </x:c>
      <x:c r="C956" t="n">
        <x:v>10</x:v>
      </x:c>
      <x:c r="D956" t="n">
        <x:f>MAX(10,ROUNDDOWN((('Calculator'!$B$10+A956)*SQRT('Calculator'!$B$11+B956)*SQRT('Calculator'!$B$12+C956)*0.59740001^2)/10,0))</x:f>
        <x:v>2337</x:v>
      </x:c>
      <x:c r="E956" t="n">
        <x:f>MAX(10,ROUNDDOWN((('Calculator'!$B$10+A956)*SQRT('Calculator'!$B$11+B956)*SQRT('Calculator'!$B$12+C956)*0.667934^2)/10,0))</x:f>
        <x:v>2922</x:v>
      </x:c>
      <x:c r="F956" t="n">
        <x:f>--AND(A956&gt;='Calculator'!$B$5,B956&gt;='Calculator'!$B$5,C956&gt;='Calculator'!$B$5)</x:f>
        <x:v>1</x:v>
      </x:c>
      <x:c r="G956" t="n">
        <x:f>--AND(A956+'Calculator'!$B$6&gt;=15,B956+'Calculator'!$B$6&gt;=15,C956+'Calculator'!$B$6&gt;=15)</x:f>
        <x:v>0</x:v>
      </x:c>
      <x:c r="H956" t="n">
        <x:f>--AND(F956=1,D956='Calculator'!$B$4)</x:f>
        <x:v>0</x:v>
      </x:c>
      <x:c r="I956" t="n">
        <x:f>--AND(H956=1,G956=1)</x:f>
        <x:v>0</x:v>
      </x:c>
      <x:c r="J956" t="n">
        <x:f>--AND(F956=1,E956='Calculator'!$B$4)</x:f>
        <x:v>0</x:v>
      </x:c>
      <x:c r="K956" t="n">
        <x:f>--AND(J956=1,G956=1)</x:f>
        <x:v>0</x:v>
      </x:c>
      <x:c r="L956" t="str">
        <x:f>A956&amp;"/"&amp;B956&amp;"/"&amp;C956</x:f>
        <x:v>15/11/10</x:v>
      </x:c>
      <x:c r="M956" t="str">
        <x:f>MIN(15,A956+'Calculator'!$B$6)&amp;"/"&amp;MIN(15,B956+'Calculator'!$B$6)&amp;"/"&amp;MIN(15,C956+'Calculator'!$B$6)</x:f>
        <x:v>15/13/12</x:v>
      </x:c>
    </x:row>
    <x:row r="957">
      <x:c r="A957" t="n">
        <x:v>15</x:v>
      </x:c>
      <x:c r="B957" t="n">
        <x:v>11</x:v>
      </x:c>
      <x:c r="C957" t="n">
        <x:v>11</x:v>
      </x:c>
      <x:c r="D957" t="n">
        <x:f>MAX(10,ROUNDDOWN((('Calculator'!$B$10+A957)*SQRT('Calculator'!$B$11+B957)*SQRT('Calculator'!$B$12+C957)*0.59740001^2)/10,0))</x:f>
        <x:v>2342</x:v>
      </x:c>
      <x:c r="E957" t="n">
        <x:f>MAX(10,ROUNDDOWN((('Calculator'!$B$10+A957)*SQRT('Calculator'!$B$11+B957)*SQRT('Calculator'!$B$12+C957)*0.667934^2)/10,0))</x:f>
        <x:v>2928</x:v>
      </x:c>
      <x:c r="F957" t="n">
        <x:f>--AND(A957&gt;='Calculator'!$B$5,B957&gt;='Calculator'!$B$5,C957&gt;='Calculator'!$B$5)</x:f>
        <x:v>1</x:v>
      </x:c>
      <x:c r="G957" t="n">
        <x:f>--AND(A957+'Calculator'!$B$6&gt;=15,B957+'Calculator'!$B$6&gt;=15,C957+'Calculator'!$B$6&gt;=15)</x:f>
        <x:v>0</x:v>
      </x:c>
      <x:c r="H957" t="n">
        <x:f>--AND(F957=1,D957='Calculator'!$B$4)</x:f>
        <x:v>0</x:v>
      </x:c>
      <x:c r="I957" t="n">
        <x:f>--AND(H957=1,G957=1)</x:f>
        <x:v>0</x:v>
      </x:c>
      <x:c r="J957" t="n">
        <x:f>--AND(F957=1,E957='Calculator'!$B$4)</x:f>
        <x:v>0</x:v>
      </x:c>
      <x:c r="K957" t="n">
        <x:f>--AND(J957=1,G957=1)</x:f>
        <x:v>0</x:v>
      </x:c>
      <x:c r="L957" t="str">
        <x:f>A957&amp;"/"&amp;B957&amp;"/"&amp;C957</x:f>
        <x:v>15/11/11</x:v>
      </x:c>
      <x:c r="M957" t="str">
        <x:f>MIN(15,A957+'Calculator'!$B$6)&amp;"/"&amp;MIN(15,B957+'Calculator'!$B$6)&amp;"/"&amp;MIN(15,C957+'Calculator'!$B$6)</x:f>
        <x:v>15/13/13</x:v>
      </x:c>
    </x:row>
    <x:row r="958">
      <x:c r="A958" t="n">
        <x:v>15</x:v>
      </x:c>
      <x:c r="B958" t="n">
        <x:v>11</x:v>
      </x:c>
      <x:c r="C958" t="n">
        <x:v>12</x:v>
      </x:c>
      <x:c r="D958" t="n">
        <x:f>MAX(10,ROUNDDOWN((('Calculator'!$B$10+A958)*SQRT('Calculator'!$B$11+B958)*SQRT('Calculator'!$B$12+C958)*0.59740001^2)/10,0))</x:f>
        <x:v>2347</x:v>
      </x:c>
      <x:c r="E958" t="n">
        <x:f>MAX(10,ROUNDDOWN((('Calculator'!$B$10+A958)*SQRT('Calculator'!$B$11+B958)*SQRT('Calculator'!$B$12+C958)*0.667934^2)/10,0))</x:f>
        <x:v>2935</x:v>
      </x:c>
      <x:c r="F958" t="n">
        <x:f>--AND(A958&gt;='Calculator'!$B$5,B958&gt;='Calculator'!$B$5,C958&gt;='Calculator'!$B$5)</x:f>
        <x:v>1</x:v>
      </x:c>
      <x:c r="G958" t="n">
        <x:f>--AND(A958+'Calculator'!$B$6&gt;=15,B958+'Calculator'!$B$6&gt;=15,C958+'Calculator'!$B$6&gt;=15)</x:f>
        <x:v>0</x:v>
      </x:c>
      <x:c r="H958" t="n">
        <x:f>--AND(F958=1,D958='Calculator'!$B$4)</x:f>
        <x:v>0</x:v>
      </x:c>
      <x:c r="I958" t="n">
        <x:f>--AND(H958=1,G958=1)</x:f>
        <x:v>0</x:v>
      </x:c>
      <x:c r="J958" t="n">
        <x:f>--AND(F958=1,E958='Calculator'!$B$4)</x:f>
        <x:v>0</x:v>
      </x:c>
      <x:c r="K958" t="n">
        <x:f>--AND(J958=1,G958=1)</x:f>
        <x:v>0</x:v>
      </x:c>
      <x:c r="L958" t="str">
        <x:f>A958&amp;"/"&amp;B958&amp;"/"&amp;C958</x:f>
        <x:v>15/11/12</x:v>
      </x:c>
      <x:c r="M958" t="str">
        <x:f>MIN(15,A958+'Calculator'!$B$6)&amp;"/"&amp;MIN(15,B958+'Calculator'!$B$6)&amp;"/"&amp;MIN(15,C958+'Calculator'!$B$6)</x:f>
        <x:v>15/13/14</x:v>
      </x:c>
    </x:row>
    <x:row r="959">
      <x:c r="A959" t="n">
        <x:v>15</x:v>
      </x:c>
      <x:c r="B959" t="n">
        <x:v>11</x:v>
      </x:c>
      <x:c r="C959" t="n">
        <x:v>13</x:v>
      </x:c>
      <x:c r="D959" t="n">
        <x:f>MAX(10,ROUNDDOWN((('Calculator'!$B$10+A959)*SQRT('Calculator'!$B$11+B959)*SQRT('Calculator'!$B$12+C959)*0.59740001^2)/10,0))</x:f>
        <x:v>2353</x:v>
      </x:c>
      <x:c r="E959" t="n">
        <x:f>MAX(10,ROUNDDOWN((('Calculator'!$B$10+A959)*SQRT('Calculator'!$B$11+B959)*SQRT('Calculator'!$B$12+C959)*0.667934^2)/10,0))</x:f>
        <x:v>2941</x:v>
      </x:c>
      <x:c r="F959" t="n">
        <x:f>--AND(A959&gt;='Calculator'!$B$5,B959&gt;='Calculator'!$B$5,C959&gt;='Calculator'!$B$5)</x:f>
        <x:v>1</x:v>
      </x:c>
      <x:c r="G959" t="n">
        <x:f>--AND(A959+'Calculator'!$B$6&gt;=15,B959+'Calculator'!$B$6&gt;=15,C959+'Calculator'!$B$6&gt;=15)</x:f>
        <x:v>0</x:v>
      </x:c>
      <x:c r="H959" t="n">
        <x:f>--AND(F959=1,D959='Calculator'!$B$4)</x:f>
        <x:v>0</x:v>
      </x:c>
      <x:c r="I959" t="n">
        <x:f>--AND(H959=1,G959=1)</x:f>
        <x:v>0</x:v>
      </x:c>
      <x:c r="J959" t="n">
        <x:f>--AND(F959=1,E959='Calculator'!$B$4)</x:f>
        <x:v>0</x:v>
      </x:c>
      <x:c r="K959" t="n">
        <x:f>--AND(J959=1,G959=1)</x:f>
        <x:v>0</x:v>
      </x:c>
      <x:c r="L959" t="str">
        <x:f>A959&amp;"/"&amp;B959&amp;"/"&amp;C959</x:f>
        <x:v>15/11/13</x:v>
      </x:c>
      <x:c r="M959" t="str">
        <x:f>MIN(15,A959+'Calculator'!$B$6)&amp;"/"&amp;MIN(15,B959+'Calculator'!$B$6)&amp;"/"&amp;MIN(15,C959+'Calculator'!$B$6)</x:f>
        <x:v>15/13/15</x:v>
      </x:c>
    </x:row>
    <x:row r="960">
      <x:c r="A960" t="n">
        <x:v>15</x:v>
      </x:c>
      <x:c r="B960" t="n">
        <x:v>11</x:v>
      </x:c>
      <x:c r="C960" t="n">
        <x:v>14</x:v>
      </x:c>
      <x:c r="D960" t="n">
        <x:f>MAX(10,ROUNDDOWN((('Calculator'!$B$10+A960)*SQRT('Calculator'!$B$11+B960)*SQRT('Calculator'!$B$12+C960)*0.59740001^2)/10,0))</x:f>
        <x:v>2358</x:v>
      </x:c>
      <x:c r="E960" t="n">
        <x:f>MAX(10,ROUNDDOWN((('Calculator'!$B$10+A960)*SQRT('Calculator'!$B$11+B960)*SQRT('Calculator'!$B$12+C960)*0.667934^2)/10,0))</x:f>
        <x:v>2947</x:v>
      </x:c>
      <x:c r="F960" t="n">
        <x:f>--AND(A960&gt;='Calculator'!$B$5,B960&gt;='Calculator'!$B$5,C960&gt;='Calculator'!$B$5)</x:f>
        <x:v>1</x:v>
      </x:c>
      <x:c r="G960" t="n">
        <x:f>--AND(A960+'Calculator'!$B$6&gt;=15,B960+'Calculator'!$B$6&gt;=15,C960+'Calculator'!$B$6&gt;=15)</x:f>
        <x:v>0</x:v>
      </x:c>
      <x:c r="H960" t="n">
        <x:f>--AND(F960=1,D960='Calculator'!$B$4)</x:f>
        <x:v>0</x:v>
      </x:c>
      <x:c r="I960" t="n">
        <x:f>--AND(H960=1,G960=1)</x:f>
        <x:v>0</x:v>
      </x:c>
      <x:c r="J960" t="n">
        <x:f>--AND(F960=1,E960='Calculator'!$B$4)</x:f>
        <x:v>0</x:v>
      </x:c>
      <x:c r="K960" t="n">
        <x:f>--AND(J960=1,G960=1)</x:f>
        <x:v>0</x:v>
      </x:c>
      <x:c r="L960" t="str">
        <x:f>A960&amp;"/"&amp;B960&amp;"/"&amp;C960</x:f>
        <x:v>15/11/14</x:v>
      </x:c>
      <x:c r="M960" t="str">
        <x:f>MIN(15,A960+'Calculator'!$B$6)&amp;"/"&amp;MIN(15,B960+'Calculator'!$B$6)&amp;"/"&amp;MIN(15,C960+'Calculator'!$B$6)</x:f>
        <x:v>15/13/15</x:v>
      </x:c>
    </x:row>
    <x:row r="961">
      <x:c r="A961" t="n">
        <x:v>15</x:v>
      </x:c>
      <x:c r="B961" t="n">
        <x:v>11</x:v>
      </x:c>
      <x:c r="C961" t="n">
        <x:v>15</x:v>
      </x:c>
      <x:c r="D961" t="n">
        <x:f>MAX(10,ROUNDDOWN((('Calculator'!$B$10+A961)*SQRT('Calculator'!$B$11+B961)*SQRT('Calculator'!$B$12+C961)*0.59740001^2)/10,0))</x:f>
        <x:v>2363</x:v>
      </x:c>
      <x:c r="E961" t="n">
        <x:f>MAX(10,ROUNDDOWN((('Calculator'!$B$10+A961)*SQRT('Calculator'!$B$11+B961)*SQRT('Calculator'!$B$12+C961)*0.667934^2)/10,0))</x:f>
        <x:v>2954</x:v>
      </x:c>
      <x:c r="F961" t="n">
        <x:f>--AND(A961&gt;='Calculator'!$B$5,B961&gt;='Calculator'!$B$5,C961&gt;='Calculator'!$B$5)</x:f>
        <x:v>1</x:v>
      </x:c>
      <x:c r="G961" t="n">
        <x:f>--AND(A961+'Calculator'!$B$6&gt;=15,B961+'Calculator'!$B$6&gt;=15,C961+'Calculator'!$B$6&gt;=15)</x:f>
        <x:v>0</x:v>
      </x:c>
      <x:c r="H961" t="n">
        <x:f>--AND(F961=1,D961='Calculator'!$B$4)</x:f>
        <x:v>0</x:v>
      </x:c>
      <x:c r="I961" t="n">
        <x:f>--AND(H961=1,G961=1)</x:f>
        <x:v>0</x:v>
      </x:c>
      <x:c r="J961" t="n">
        <x:f>--AND(F961=1,E961='Calculator'!$B$4)</x:f>
        <x:v>0</x:v>
      </x:c>
      <x:c r="K961" t="n">
        <x:f>--AND(J961=1,G961=1)</x:f>
        <x:v>0</x:v>
      </x:c>
      <x:c r="L961" t="str">
        <x:f>A961&amp;"/"&amp;B961&amp;"/"&amp;C961</x:f>
        <x:v>15/11/15</x:v>
      </x:c>
      <x:c r="M961" t="str">
        <x:f>MIN(15,A961+'Calculator'!$B$6)&amp;"/"&amp;MIN(15,B961+'Calculator'!$B$6)&amp;"/"&amp;MIN(15,C961+'Calculator'!$B$6)</x:f>
        <x:v>15/13/15</x:v>
      </x:c>
    </x:row>
    <x:row r="962">
      <x:c r="A962" t="n">
        <x:v>15</x:v>
      </x:c>
      <x:c r="B962" t="n">
        <x:v>12</x:v>
      </x:c>
      <x:c r="C962" t="n">
        <x:v>6</x:v>
      </x:c>
      <x:c r="D962" t="n">
        <x:f>MAX(10,ROUNDDOWN((('Calculator'!$B$10+A962)*SQRT('Calculator'!$B$11+B962)*SQRT('Calculator'!$B$12+C962)*0.59740001^2)/10,0))</x:f>
        <x:v>2322</x:v>
      </x:c>
      <x:c r="E962" t="n">
        <x:f>MAX(10,ROUNDDOWN((('Calculator'!$B$10+A962)*SQRT('Calculator'!$B$11+B962)*SQRT('Calculator'!$B$12+C962)*0.667934^2)/10,0))</x:f>
        <x:v>2903</x:v>
      </x:c>
      <x:c r="F962" t="n">
        <x:f>--AND(A962&gt;='Calculator'!$B$5,B962&gt;='Calculator'!$B$5,C962&gt;='Calculator'!$B$5)</x:f>
        <x:v>1</x:v>
      </x:c>
      <x:c r="G962" t="n">
        <x:f>--AND(A962+'Calculator'!$B$6&gt;=15,B962+'Calculator'!$B$6&gt;=15,C962+'Calculator'!$B$6&gt;=15)</x:f>
        <x:v>0</x:v>
      </x:c>
      <x:c r="H962" t="n">
        <x:f>--AND(F962=1,D962='Calculator'!$B$4)</x:f>
        <x:v>0</x:v>
      </x:c>
      <x:c r="I962" t="n">
        <x:f>--AND(H962=1,G962=1)</x:f>
        <x:v>0</x:v>
      </x:c>
      <x:c r="J962" t="n">
        <x:f>--AND(F962=1,E962='Calculator'!$B$4)</x:f>
        <x:v>0</x:v>
      </x:c>
      <x:c r="K962" t="n">
        <x:f>--AND(J962=1,G962=1)</x:f>
        <x:v>0</x:v>
      </x:c>
      <x:c r="L962" t="str">
        <x:f>A962&amp;"/"&amp;B962&amp;"/"&amp;C962</x:f>
        <x:v>15/12/6</x:v>
      </x:c>
      <x:c r="M962" t="str">
        <x:f>MIN(15,A962+'Calculator'!$B$6)&amp;"/"&amp;MIN(15,B962+'Calculator'!$B$6)&amp;"/"&amp;MIN(15,C962+'Calculator'!$B$6)</x:f>
        <x:v>15/14/8</x:v>
      </x:c>
    </x:row>
    <x:row r="963">
      <x:c r="A963" t="n">
        <x:v>15</x:v>
      </x:c>
      <x:c r="B963" t="n">
        <x:v>12</x:v>
      </x:c>
      <x:c r="C963" t="n">
        <x:v>7</x:v>
      </x:c>
      <x:c r="D963" t="n">
        <x:f>MAX(10,ROUNDDOWN((('Calculator'!$B$10+A963)*SQRT('Calculator'!$B$11+B963)*SQRT('Calculator'!$B$12+C963)*0.59740001^2)/10,0))</x:f>
        <x:v>2327</x:v>
      </x:c>
      <x:c r="E963" t="n">
        <x:f>MAX(10,ROUNDDOWN((('Calculator'!$B$10+A963)*SQRT('Calculator'!$B$11+B963)*SQRT('Calculator'!$B$12+C963)*0.667934^2)/10,0))</x:f>
        <x:v>2909</x:v>
      </x:c>
      <x:c r="F963" t="n">
        <x:f>--AND(A963&gt;='Calculator'!$B$5,B963&gt;='Calculator'!$B$5,C963&gt;='Calculator'!$B$5)</x:f>
        <x:v>1</x:v>
      </x:c>
      <x:c r="G963" t="n">
        <x:f>--AND(A963+'Calculator'!$B$6&gt;=15,B963+'Calculator'!$B$6&gt;=15,C963+'Calculator'!$B$6&gt;=15)</x:f>
        <x:v>0</x:v>
      </x:c>
      <x:c r="H963" t="n">
        <x:f>--AND(F963=1,D963='Calculator'!$B$4)</x:f>
        <x:v>0</x:v>
      </x:c>
      <x:c r="I963" t="n">
        <x:f>--AND(H963=1,G963=1)</x:f>
        <x:v>0</x:v>
      </x:c>
      <x:c r="J963" t="n">
        <x:f>--AND(F963=1,E963='Calculator'!$B$4)</x:f>
        <x:v>0</x:v>
      </x:c>
      <x:c r="K963" t="n">
        <x:f>--AND(J963=1,G963=1)</x:f>
        <x:v>0</x:v>
      </x:c>
      <x:c r="L963" t="str">
        <x:f>A963&amp;"/"&amp;B963&amp;"/"&amp;C963</x:f>
        <x:v>15/12/7</x:v>
      </x:c>
      <x:c r="M963" t="str">
        <x:f>MIN(15,A963+'Calculator'!$B$6)&amp;"/"&amp;MIN(15,B963+'Calculator'!$B$6)&amp;"/"&amp;MIN(15,C963+'Calculator'!$B$6)</x:f>
        <x:v>15/14/9</x:v>
      </x:c>
    </x:row>
    <x:row r="964">
      <x:c r="A964" t="n">
        <x:v>15</x:v>
      </x:c>
      <x:c r="B964" t="n">
        <x:v>12</x:v>
      </x:c>
      <x:c r="C964" t="n">
        <x:v>8</x:v>
      </x:c>
      <x:c r="D964" t="n">
        <x:f>MAX(10,ROUNDDOWN((('Calculator'!$B$10+A964)*SQRT('Calculator'!$B$11+B964)*SQRT('Calculator'!$B$12+C964)*0.59740001^2)/10,0))</x:f>
        <x:v>2333</x:v>
      </x:c>
      <x:c r="E964" t="n">
        <x:f>MAX(10,ROUNDDOWN((('Calculator'!$B$10+A964)*SQRT('Calculator'!$B$11+B964)*SQRT('Calculator'!$B$12+C964)*0.667934^2)/10,0))</x:f>
        <x:v>2916</x:v>
      </x:c>
      <x:c r="F964" t="n">
        <x:f>--AND(A964&gt;='Calculator'!$B$5,B964&gt;='Calculator'!$B$5,C964&gt;='Calculator'!$B$5)</x:f>
        <x:v>1</x:v>
      </x:c>
      <x:c r="G964" t="n">
        <x:f>--AND(A964+'Calculator'!$B$6&gt;=15,B964+'Calculator'!$B$6&gt;=15,C964+'Calculator'!$B$6&gt;=15)</x:f>
        <x:v>0</x:v>
      </x:c>
      <x:c r="H964" t="n">
        <x:f>--AND(F964=1,D964='Calculator'!$B$4)</x:f>
        <x:v>0</x:v>
      </x:c>
      <x:c r="I964" t="n">
        <x:f>--AND(H964=1,G964=1)</x:f>
        <x:v>0</x:v>
      </x:c>
      <x:c r="J964" t="n">
        <x:f>--AND(F964=1,E964='Calculator'!$B$4)</x:f>
        <x:v>0</x:v>
      </x:c>
      <x:c r="K964" t="n">
        <x:f>--AND(J964=1,G964=1)</x:f>
        <x:v>0</x:v>
      </x:c>
      <x:c r="L964" t="str">
        <x:f>A964&amp;"/"&amp;B964&amp;"/"&amp;C964</x:f>
        <x:v>15/12/8</x:v>
      </x:c>
      <x:c r="M964" t="str">
        <x:f>MIN(15,A964+'Calculator'!$B$6)&amp;"/"&amp;MIN(15,B964+'Calculator'!$B$6)&amp;"/"&amp;MIN(15,C964+'Calculator'!$B$6)</x:f>
        <x:v>15/14/10</x:v>
      </x:c>
    </x:row>
    <x:row r="965">
      <x:c r="A965" t="n">
        <x:v>15</x:v>
      </x:c>
      <x:c r="B965" t="n">
        <x:v>12</x:v>
      </x:c>
      <x:c r="C965" t="n">
        <x:v>9</x:v>
      </x:c>
      <x:c r="D965" t="n">
        <x:f>MAX(10,ROUNDDOWN((('Calculator'!$B$10+A965)*SQRT('Calculator'!$B$11+B965)*SQRT('Calculator'!$B$12+C965)*0.59740001^2)/10,0))</x:f>
        <x:v>2338</x:v>
      </x:c>
      <x:c r="E965" t="n">
        <x:f>MAX(10,ROUNDDOWN((('Calculator'!$B$10+A965)*SQRT('Calculator'!$B$11+B965)*SQRT('Calculator'!$B$12+C965)*0.667934^2)/10,0))</x:f>
        <x:v>2923</x:v>
      </x:c>
      <x:c r="F965" t="n">
        <x:f>--AND(A965&gt;='Calculator'!$B$5,B965&gt;='Calculator'!$B$5,C965&gt;='Calculator'!$B$5)</x:f>
        <x:v>1</x:v>
      </x:c>
      <x:c r="G965" t="n">
        <x:f>--AND(A965+'Calculator'!$B$6&gt;=15,B965+'Calculator'!$B$6&gt;=15,C965+'Calculator'!$B$6&gt;=15)</x:f>
        <x:v>0</x:v>
      </x:c>
      <x:c r="H965" t="n">
        <x:f>--AND(F965=1,D965='Calculator'!$B$4)</x:f>
        <x:v>0</x:v>
      </x:c>
      <x:c r="I965" t="n">
        <x:f>--AND(H965=1,G965=1)</x:f>
        <x:v>0</x:v>
      </x:c>
      <x:c r="J965" t="n">
        <x:f>--AND(F965=1,E965='Calculator'!$B$4)</x:f>
        <x:v>0</x:v>
      </x:c>
      <x:c r="K965" t="n">
        <x:f>--AND(J965=1,G965=1)</x:f>
        <x:v>0</x:v>
      </x:c>
      <x:c r="L965" t="str">
        <x:f>A965&amp;"/"&amp;B965&amp;"/"&amp;C965</x:f>
        <x:v>15/12/9</x:v>
      </x:c>
      <x:c r="M965" t="str">
        <x:f>MIN(15,A965+'Calculator'!$B$6)&amp;"/"&amp;MIN(15,B965+'Calculator'!$B$6)&amp;"/"&amp;MIN(15,C965+'Calculator'!$B$6)</x:f>
        <x:v>15/14/11</x:v>
      </x:c>
    </x:row>
    <x:row r="966">
      <x:c r="A966" t="n">
        <x:v>15</x:v>
      </x:c>
      <x:c r="B966" t="n">
        <x:v>12</x:v>
      </x:c>
      <x:c r="C966" t="n">
        <x:v>10</x:v>
      </x:c>
      <x:c r="D966" t="n">
        <x:f>MAX(10,ROUNDDOWN((('Calculator'!$B$10+A966)*SQRT('Calculator'!$B$11+B966)*SQRT('Calculator'!$B$12+C966)*0.59740001^2)/10,0))</x:f>
        <x:v>2343</x:v>
      </x:c>
      <x:c r="E966" t="n">
        <x:f>MAX(10,ROUNDDOWN((('Calculator'!$B$10+A966)*SQRT('Calculator'!$B$11+B966)*SQRT('Calculator'!$B$12+C966)*0.667934^2)/10,0))</x:f>
        <x:v>2929</x:v>
      </x:c>
      <x:c r="F966" t="n">
        <x:f>--AND(A966&gt;='Calculator'!$B$5,B966&gt;='Calculator'!$B$5,C966&gt;='Calculator'!$B$5)</x:f>
        <x:v>1</x:v>
      </x:c>
      <x:c r="G966" t="n">
        <x:f>--AND(A966+'Calculator'!$B$6&gt;=15,B966+'Calculator'!$B$6&gt;=15,C966+'Calculator'!$B$6&gt;=15)</x:f>
        <x:v>0</x:v>
      </x:c>
      <x:c r="H966" t="n">
        <x:f>--AND(F966=1,D966='Calculator'!$B$4)</x:f>
        <x:v>0</x:v>
      </x:c>
      <x:c r="I966" t="n">
        <x:f>--AND(H966=1,G966=1)</x:f>
        <x:v>0</x:v>
      </x:c>
      <x:c r="J966" t="n">
        <x:f>--AND(F966=1,E966='Calculator'!$B$4)</x:f>
        <x:v>0</x:v>
      </x:c>
      <x:c r="K966" t="n">
        <x:f>--AND(J966=1,G966=1)</x:f>
        <x:v>0</x:v>
      </x:c>
      <x:c r="L966" t="str">
        <x:f>A966&amp;"/"&amp;B966&amp;"/"&amp;C966</x:f>
        <x:v>15/12/10</x:v>
      </x:c>
      <x:c r="M966" t="str">
        <x:f>MIN(15,A966+'Calculator'!$B$6)&amp;"/"&amp;MIN(15,B966+'Calculator'!$B$6)&amp;"/"&amp;MIN(15,C966+'Calculator'!$B$6)</x:f>
        <x:v>15/14/12</x:v>
      </x:c>
    </x:row>
    <x:row r="967">
      <x:c r="A967" t="n">
        <x:v>15</x:v>
      </x:c>
      <x:c r="B967" t="n">
        <x:v>12</x:v>
      </x:c>
      <x:c r="C967" t="n">
        <x:v>11</x:v>
      </x:c>
      <x:c r="D967" t="n">
        <x:f>MAX(10,ROUNDDOWN((('Calculator'!$B$10+A967)*SQRT('Calculator'!$B$11+B967)*SQRT('Calculator'!$B$12+C967)*0.59740001^2)/10,0))</x:f>
        <x:v>2348</x:v>
      </x:c>
      <x:c r="E967" t="n">
        <x:f>MAX(10,ROUNDDOWN((('Calculator'!$B$10+A967)*SQRT('Calculator'!$B$11+B967)*SQRT('Calculator'!$B$12+C967)*0.667934^2)/10,0))</x:f>
        <x:v>2936</x:v>
      </x:c>
      <x:c r="F967" t="n">
        <x:f>--AND(A967&gt;='Calculator'!$B$5,B967&gt;='Calculator'!$B$5,C967&gt;='Calculator'!$B$5)</x:f>
        <x:v>1</x:v>
      </x:c>
      <x:c r="G967" t="n">
        <x:f>--AND(A967+'Calculator'!$B$6&gt;=15,B967+'Calculator'!$B$6&gt;=15,C967+'Calculator'!$B$6&gt;=15)</x:f>
        <x:v>0</x:v>
      </x:c>
      <x:c r="H967" t="n">
        <x:f>--AND(F967=1,D967='Calculator'!$B$4)</x:f>
        <x:v>0</x:v>
      </x:c>
      <x:c r="I967" t="n">
        <x:f>--AND(H967=1,G967=1)</x:f>
        <x:v>0</x:v>
      </x:c>
      <x:c r="J967" t="n">
        <x:f>--AND(F967=1,E967='Calculator'!$B$4)</x:f>
        <x:v>0</x:v>
      </x:c>
      <x:c r="K967" t="n">
        <x:f>--AND(J967=1,G967=1)</x:f>
        <x:v>0</x:v>
      </x:c>
      <x:c r="L967" t="str">
        <x:f>A967&amp;"/"&amp;B967&amp;"/"&amp;C967</x:f>
        <x:v>15/12/11</x:v>
      </x:c>
      <x:c r="M967" t="str">
        <x:f>MIN(15,A967+'Calculator'!$B$6)&amp;"/"&amp;MIN(15,B967+'Calculator'!$B$6)&amp;"/"&amp;MIN(15,C967+'Calculator'!$B$6)</x:f>
        <x:v>15/14/13</x:v>
      </x:c>
    </x:row>
    <x:row r="968">
      <x:c r="A968" t="n">
        <x:v>15</x:v>
      </x:c>
      <x:c r="B968" t="n">
        <x:v>12</x:v>
      </x:c>
      <x:c r="C968" t="n">
        <x:v>12</x:v>
      </x:c>
      <x:c r="D968" t="n">
        <x:f>MAX(10,ROUNDDOWN((('Calculator'!$B$10+A968)*SQRT('Calculator'!$B$11+B968)*SQRT('Calculator'!$B$12+C968)*0.59740001^2)/10,0))</x:f>
        <x:v>2353</x:v>
      </x:c>
      <x:c r="E968" t="n">
        <x:f>MAX(10,ROUNDDOWN((('Calculator'!$B$10+A968)*SQRT('Calculator'!$B$11+B968)*SQRT('Calculator'!$B$12+C968)*0.667934^2)/10,0))</x:f>
        <x:v>2942</x:v>
      </x:c>
      <x:c r="F968" t="n">
        <x:f>--AND(A968&gt;='Calculator'!$B$5,B968&gt;='Calculator'!$B$5,C968&gt;='Calculator'!$B$5)</x:f>
        <x:v>1</x:v>
      </x:c>
      <x:c r="G968" t="n">
        <x:f>--AND(A968+'Calculator'!$B$6&gt;=15,B968+'Calculator'!$B$6&gt;=15,C968+'Calculator'!$B$6&gt;=15)</x:f>
        <x:v>0</x:v>
      </x:c>
      <x:c r="H968" t="n">
        <x:f>--AND(F968=1,D968='Calculator'!$B$4)</x:f>
        <x:v>0</x:v>
      </x:c>
      <x:c r="I968" t="n">
        <x:f>--AND(H968=1,G968=1)</x:f>
        <x:v>0</x:v>
      </x:c>
      <x:c r="J968" t="n">
        <x:f>--AND(F968=1,E968='Calculator'!$B$4)</x:f>
        <x:v>0</x:v>
      </x:c>
      <x:c r="K968" t="n">
        <x:f>--AND(J968=1,G968=1)</x:f>
        <x:v>0</x:v>
      </x:c>
      <x:c r="L968" t="str">
        <x:f>A968&amp;"/"&amp;B968&amp;"/"&amp;C968</x:f>
        <x:v>15/12/12</x:v>
      </x:c>
      <x:c r="M968" t="str">
        <x:f>MIN(15,A968+'Calculator'!$B$6)&amp;"/"&amp;MIN(15,B968+'Calculator'!$B$6)&amp;"/"&amp;MIN(15,C968+'Calculator'!$B$6)</x:f>
        <x:v>15/14/14</x:v>
      </x:c>
    </x:row>
    <x:row r="969">
      <x:c r="A969" t="n">
        <x:v>15</x:v>
      </x:c>
      <x:c r="B969" t="n">
        <x:v>12</x:v>
      </x:c>
      <x:c r="C969" t="n">
        <x:v>13</x:v>
      </x:c>
      <x:c r="D969" t="n">
        <x:f>MAX(10,ROUNDDOWN((('Calculator'!$B$10+A969)*SQRT('Calculator'!$B$11+B969)*SQRT('Calculator'!$B$12+C969)*0.59740001^2)/10,0))</x:f>
        <x:v>2359</x:v>
      </x:c>
      <x:c r="E969" t="n">
        <x:f>MAX(10,ROUNDDOWN((('Calculator'!$B$10+A969)*SQRT('Calculator'!$B$11+B969)*SQRT('Calculator'!$B$12+C969)*0.667934^2)/10,0))</x:f>
        <x:v>2949</x:v>
      </x:c>
      <x:c r="F969" t="n">
        <x:f>--AND(A969&gt;='Calculator'!$B$5,B969&gt;='Calculator'!$B$5,C969&gt;='Calculator'!$B$5)</x:f>
        <x:v>1</x:v>
      </x:c>
      <x:c r="G969" t="n">
        <x:f>--AND(A969+'Calculator'!$B$6&gt;=15,B969+'Calculator'!$B$6&gt;=15,C969+'Calculator'!$B$6&gt;=15)</x:f>
        <x:v>0</x:v>
      </x:c>
      <x:c r="H969" t="n">
        <x:f>--AND(F969=1,D969='Calculator'!$B$4)</x:f>
        <x:v>0</x:v>
      </x:c>
      <x:c r="I969" t="n">
        <x:f>--AND(H969=1,G969=1)</x:f>
        <x:v>0</x:v>
      </x:c>
      <x:c r="J969" t="n">
        <x:f>--AND(F969=1,E969='Calculator'!$B$4)</x:f>
        <x:v>0</x:v>
      </x:c>
      <x:c r="K969" t="n">
        <x:f>--AND(J969=1,G969=1)</x:f>
        <x:v>0</x:v>
      </x:c>
      <x:c r="L969" t="str">
        <x:f>A969&amp;"/"&amp;B969&amp;"/"&amp;C969</x:f>
        <x:v>15/12/13</x:v>
      </x:c>
      <x:c r="M969" t="str">
        <x:f>MIN(15,A969+'Calculator'!$B$6)&amp;"/"&amp;MIN(15,B969+'Calculator'!$B$6)&amp;"/"&amp;MIN(15,C969+'Calculator'!$B$6)</x:f>
        <x:v>15/14/15</x:v>
      </x:c>
    </x:row>
    <x:row r="970">
      <x:c r="A970" t="n">
        <x:v>15</x:v>
      </x:c>
      <x:c r="B970" t="n">
        <x:v>12</x:v>
      </x:c>
      <x:c r="C970" t="n">
        <x:v>14</x:v>
      </x:c>
      <x:c r="D970" t="n">
        <x:f>MAX(10,ROUNDDOWN((('Calculator'!$B$10+A970)*SQRT('Calculator'!$B$11+B970)*SQRT('Calculator'!$B$12+C970)*0.59740001^2)/10,0))</x:f>
        <x:v>2364</x:v>
      </x:c>
      <x:c r="E970" t="n">
        <x:f>MAX(10,ROUNDDOWN((('Calculator'!$B$10+A970)*SQRT('Calculator'!$B$11+B970)*SQRT('Calculator'!$B$12+C970)*0.667934^2)/10,0))</x:f>
        <x:v>2955</x:v>
      </x:c>
      <x:c r="F970" t="n">
        <x:f>--AND(A970&gt;='Calculator'!$B$5,B970&gt;='Calculator'!$B$5,C970&gt;='Calculator'!$B$5)</x:f>
        <x:v>1</x:v>
      </x:c>
      <x:c r="G970" t="n">
        <x:f>--AND(A970+'Calculator'!$B$6&gt;=15,B970+'Calculator'!$B$6&gt;=15,C970+'Calculator'!$B$6&gt;=15)</x:f>
        <x:v>0</x:v>
      </x:c>
      <x:c r="H970" t="n">
        <x:f>--AND(F970=1,D970='Calculator'!$B$4)</x:f>
        <x:v>0</x:v>
      </x:c>
      <x:c r="I970" t="n">
        <x:f>--AND(H970=1,G970=1)</x:f>
        <x:v>0</x:v>
      </x:c>
      <x:c r="J970" t="n">
        <x:f>--AND(F970=1,E970='Calculator'!$B$4)</x:f>
        <x:v>0</x:v>
      </x:c>
      <x:c r="K970" t="n">
        <x:f>--AND(J970=1,G970=1)</x:f>
        <x:v>0</x:v>
      </x:c>
      <x:c r="L970" t="str">
        <x:f>A970&amp;"/"&amp;B970&amp;"/"&amp;C970</x:f>
        <x:v>15/12/14</x:v>
      </x:c>
      <x:c r="M970" t="str">
        <x:f>MIN(15,A970+'Calculator'!$B$6)&amp;"/"&amp;MIN(15,B970+'Calculator'!$B$6)&amp;"/"&amp;MIN(15,C970+'Calculator'!$B$6)</x:f>
        <x:v>15/14/15</x:v>
      </x:c>
    </x:row>
    <x:row r="971">
      <x:c r="A971" t="n">
        <x:v>15</x:v>
      </x:c>
      <x:c r="B971" t="n">
        <x:v>12</x:v>
      </x:c>
      <x:c r="C971" t="n">
        <x:v>15</x:v>
      </x:c>
      <x:c r="D971" t="n">
        <x:f>MAX(10,ROUNDDOWN((('Calculator'!$B$10+A971)*SQRT('Calculator'!$B$11+B971)*SQRT('Calculator'!$B$12+C971)*0.59740001^2)/10,0))</x:f>
        <x:v>2369</x:v>
      </x:c>
      <x:c r="E971" t="n">
        <x:f>MAX(10,ROUNDDOWN((('Calculator'!$B$10+A971)*SQRT('Calculator'!$B$11+B971)*SQRT('Calculator'!$B$12+C971)*0.667934^2)/10,0))</x:f>
        <x:v>2962</x:v>
      </x:c>
      <x:c r="F971" t="n">
        <x:f>--AND(A971&gt;='Calculator'!$B$5,B971&gt;='Calculator'!$B$5,C971&gt;='Calculator'!$B$5)</x:f>
        <x:v>1</x:v>
      </x:c>
      <x:c r="G971" t="n">
        <x:f>--AND(A971+'Calculator'!$B$6&gt;=15,B971+'Calculator'!$B$6&gt;=15,C971+'Calculator'!$B$6&gt;=15)</x:f>
        <x:v>0</x:v>
      </x:c>
      <x:c r="H971" t="n">
        <x:f>--AND(F971=1,D971='Calculator'!$B$4)</x:f>
        <x:v>0</x:v>
      </x:c>
      <x:c r="I971" t="n">
        <x:f>--AND(H971=1,G971=1)</x:f>
        <x:v>0</x:v>
      </x:c>
      <x:c r="J971" t="n">
        <x:f>--AND(F971=1,E971='Calculator'!$B$4)</x:f>
        <x:v>0</x:v>
      </x:c>
      <x:c r="K971" t="n">
        <x:f>--AND(J971=1,G971=1)</x:f>
        <x:v>0</x:v>
      </x:c>
      <x:c r="L971" t="str">
        <x:f>A971&amp;"/"&amp;B971&amp;"/"&amp;C971</x:f>
        <x:v>15/12/15</x:v>
      </x:c>
      <x:c r="M971" t="str">
        <x:f>MIN(15,A971+'Calculator'!$B$6)&amp;"/"&amp;MIN(15,B971+'Calculator'!$B$6)&amp;"/"&amp;MIN(15,C971+'Calculator'!$B$6)</x:f>
        <x:v>15/14/15</x:v>
      </x:c>
    </x:row>
    <x:row r="972">
      <x:c r="A972" t="n">
        <x:v>15</x:v>
      </x:c>
      <x:c r="B972" t="n">
        <x:v>13</x:v>
      </x:c>
      <x:c r="C972" t="n">
        <x:v>6</x:v>
      </x:c>
      <x:c r="D972" t="n">
        <x:f>MAX(10,ROUNDDOWN((('Calculator'!$B$10+A972)*SQRT('Calculator'!$B$11+B972)*SQRT('Calculator'!$B$12+C972)*0.59740001^2)/10,0))</x:f>
        <x:v>2328</x:v>
      </x:c>
      <x:c r="E972" t="n">
        <x:f>MAX(10,ROUNDDOWN((('Calculator'!$B$10+A972)*SQRT('Calculator'!$B$11+B972)*SQRT('Calculator'!$B$12+C972)*0.667934^2)/10,0))</x:f>
        <x:v>2910</x:v>
      </x:c>
      <x:c r="F972" t="n">
        <x:f>--AND(A972&gt;='Calculator'!$B$5,B972&gt;='Calculator'!$B$5,C972&gt;='Calculator'!$B$5)</x:f>
        <x:v>1</x:v>
      </x:c>
      <x:c r="G972" t="n">
        <x:f>--AND(A972+'Calculator'!$B$6&gt;=15,B972+'Calculator'!$B$6&gt;=15,C972+'Calculator'!$B$6&gt;=15)</x:f>
        <x:v>0</x:v>
      </x:c>
      <x:c r="H972" t="n">
        <x:f>--AND(F972=1,D972='Calculator'!$B$4)</x:f>
        <x:v>0</x:v>
      </x:c>
      <x:c r="I972" t="n">
        <x:f>--AND(H972=1,G972=1)</x:f>
        <x:v>0</x:v>
      </x:c>
      <x:c r="J972" t="n">
        <x:f>--AND(F972=1,E972='Calculator'!$B$4)</x:f>
        <x:v>0</x:v>
      </x:c>
      <x:c r="K972" t="n">
        <x:f>--AND(J972=1,G972=1)</x:f>
        <x:v>0</x:v>
      </x:c>
      <x:c r="L972" t="str">
        <x:f>A972&amp;"/"&amp;B972&amp;"/"&amp;C972</x:f>
        <x:v>15/13/6</x:v>
      </x:c>
      <x:c r="M972" t="str">
        <x:f>MIN(15,A972+'Calculator'!$B$6)&amp;"/"&amp;MIN(15,B972+'Calculator'!$B$6)&amp;"/"&amp;MIN(15,C972+'Calculator'!$B$6)</x:f>
        <x:v>15/15/8</x:v>
      </x:c>
    </x:row>
    <x:row r="973">
      <x:c r="A973" t="n">
        <x:v>15</x:v>
      </x:c>
      <x:c r="B973" t="n">
        <x:v>13</x:v>
      </x:c>
      <x:c r="C973" t="n">
        <x:v>7</x:v>
      </x:c>
      <x:c r="D973" t="n">
        <x:f>MAX(10,ROUNDDOWN((('Calculator'!$B$10+A973)*SQRT('Calculator'!$B$11+B973)*SQRT('Calculator'!$B$12+C973)*0.59740001^2)/10,0))</x:f>
        <x:v>2333</x:v>
      </x:c>
      <x:c r="E973" t="n">
        <x:f>MAX(10,ROUNDDOWN((('Calculator'!$B$10+A973)*SQRT('Calculator'!$B$11+B973)*SQRT('Calculator'!$B$12+C973)*0.667934^2)/10,0))</x:f>
        <x:v>2917</x:v>
      </x:c>
      <x:c r="F973" t="n">
        <x:f>--AND(A973&gt;='Calculator'!$B$5,B973&gt;='Calculator'!$B$5,C973&gt;='Calculator'!$B$5)</x:f>
        <x:v>1</x:v>
      </x:c>
      <x:c r="G973" t="n">
        <x:f>--AND(A973+'Calculator'!$B$6&gt;=15,B973+'Calculator'!$B$6&gt;=15,C973+'Calculator'!$B$6&gt;=15)</x:f>
        <x:v>0</x:v>
      </x:c>
      <x:c r="H973" t="n">
        <x:f>--AND(F973=1,D973='Calculator'!$B$4)</x:f>
        <x:v>0</x:v>
      </x:c>
      <x:c r="I973" t="n">
        <x:f>--AND(H973=1,G973=1)</x:f>
        <x:v>0</x:v>
      </x:c>
      <x:c r="J973" t="n">
        <x:f>--AND(F973=1,E973='Calculator'!$B$4)</x:f>
        <x:v>0</x:v>
      </x:c>
      <x:c r="K973" t="n">
        <x:f>--AND(J973=1,G973=1)</x:f>
        <x:v>0</x:v>
      </x:c>
      <x:c r="L973" t="str">
        <x:f>A973&amp;"/"&amp;B973&amp;"/"&amp;C973</x:f>
        <x:v>15/13/7</x:v>
      </x:c>
      <x:c r="M973" t="str">
        <x:f>MIN(15,A973+'Calculator'!$B$6)&amp;"/"&amp;MIN(15,B973+'Calculator'!$B$6)&amp;"/"&amp;MIN(15,C973+'Calculator'!$B$6)</x:f>
        <x:v>15/15/9</x:v>
      </x:c>
    </x:row>
    <x:row r="974">
      <x:c r="A974" t="n">
        <x:v>15</x:v>
      </x:c>
      <x:c r="B974" t="n">
        <x:v>13</x:v>
      </x:c>
      <x:c r="C974" t="n">
        <x:v>8</x:v>
      </x:c>
      <x:c r="D974" t="n">
        <x:f>MAX(10,ROUNDDOWN((('Calculator'!$B$10+A974)*SQRT('Calculator'!$B$11+B974)*SQRT('Calculator'!$B$12+C974)*0.59740001^2)/10,0))</x:f>
        <x:v>2339</x:v>
      </x:c>
      <x:c r="E974" t="n">
        <x:f>MAX(10,ROUNDDOWN((('Calculator'!$B$10+A974)*SQRT('Calculator'!$B$11+B974)*SQRT('Calculator'!$B$12+C974)*0.667934^2)/10,0))</x:f>
        <x:v>2923</x:v>
      </x:c>
      <x:c r="F974" t="n">
        <x:f>--AND(A974&gt;='Calculator'!$B$5,B974&gt;='Calculator'!$B$5,C974&gt;='Calculator'!$B$5)</x:f>
        <x:v>1</x:v>
      </x:c>
      <x:c r="G974" t="n">
        <x:f>--AND(A974+'Calculator'!$B$6&gt;=15,B974+'Calculator'!$B$6&gt;=15,C974+'Calculator'!$B$6&gt;=15)</x:f>
        <x:v>0</x:v>
      </x:c>
      <x:c r="H974" t="n">
        <x:f>--AND(F974=1,D974='Calculator'!$B$4)</x:f>
        <x:v>0</x:v>
      </x:c>
      <x:c r="I974" t="n">
        <x:f>--AND(H974=1,G974=1)</x:f>
        <x:v>0</x:v>
      </x:c>
      <x:c r="J974" t="n">
        <x:f>--AND(F974=1,E974='Calculator'!$B$4)</x:f>
        <x:v>0</x:v>
      </x:c>
      <x:c r="K974" t="n">
        <x:f>--AND(J974=1,G974=1)</x:f>
        <x:v>0</x:v>
      </x:c>
      <x:c r="L974" t="str">
        <x:f>A974&amp;"/"&amp;B974&amp;"/"&amp;C974</x:f>
        <x:v>15/13/8</x:v>
      </x:c>
      <x:c r="M974" t="str">
        <x:f>MIN(15,A974+'Calculator'!$B$6)&amp;"/"&amp;MIN(15,B974+'Calculator'!$B$6)&amp;"/"&amp;MIN(15,C974+'Calculator'!$B$6)</x:f>
        <x:v>15/15/10</x:v>
      </x:c>
    </x:row>
    <x:row r="975">
      <x:c r="A975" t="n">
        <x:v>15</x:v>
      </x:c>
      <x:c r="B975" t="n">
        <x:v>13</x:v>
      </x:c>
      <x:c r="C975" t="n">
        <x:v>9</x:v>
      </x:c>
      <x:c r="D975" t="n">
        <x:f>MAX(10,ROUNDDOWN((('Calculator'!$B$10+A975)*SQRT('Calculator'!$B$11+B975)*SQRT('Calculator'!$B$12+C975)*0.59740001^2)/10,0))</x:f>
        <x:v>2344</x:v>
      </x:c>
      <x:c r="E975" t="n">
        <x:f>MAX(10,ROUNDDOWN((('Calculator'!$B$10+A975)*SQRT('Calculator'!$B$11+B975)*SQRT('Calculator'!$B$12+C975)*0.667934^2)/10,0))</x:f>
        <x:v>2930</x:v>
      </x:c>
      <x:c r="F975" t="n">
        <x:f>--AND(A975&gt;='Calculator'!$B$5,B975&gt;='Calculator'!$B$5,C975&gt;='Calculator'!$B$5)</x:f>
        <x:v>1</x:v>
      </x:c>
      <x:c r="G975" t="n">
        <x:f>--AND(A975+'Calculator'!$B$6&gt;=15,B975+'Calculator'!$B$6&gt;=15,C975+'Calculator'!$B$6&gt;=15)</x:f>
        <x:v>0</x:v>
      </x:c>
      <x:c r="H975" t="n">
        <x:f>--AND(F975=1,D975='Calculator'!$B$4)</x:f>
        <x:v>0</x:v>
      </x:c>
      <x:c r="I975" t="n">
        <x:f>--AND(H975=1,G975=1)</x:f>
        <x:v>0</x:v>
      </x:c>
      <x:c r="J975" t="n">
        <x:f>--AND(F975=1,E975='Calculator'!$B$4)</x:f>
        <x:v>0</x:v>
      </x:c>
      <x:c r="K975" t="n">
        <x:f>--AND(J975=1,G975=1)</x:f>
        <x:v>0</x:v>
      </x:c>
      <x:c r="L975" t="str">
        <x:f>A975&amp;"/"&amp;B975&amp;"/"&amp;C975</x:f>
        <x:v>15/13/9</x:v>
      </x:c>
      <x:c r="M975" t="str">
        <x:f>MIN(15,A975+'Calculator'!$B$6)&amp;"/"&amp;MIN(15,B975+'Calculator'!$B$6)&amp;"/"&amp;MIN(15,C975+'Calculator'!$B$6)</x:f>
        <x:v>15/15/11</x:v>
      </x:c>
    </x:row>
    <x:row r="976">
      <x:c r="A976" t="n">
        <x:v>15</x:v>
      </x:c>
      <x:c r="B976" t="n">
        <x:v>13</x:v>
      </x:c>
      <x:c r="C976" t="n">
        <x:v>10</x:v>
      </x:c>
      <x:c r="D976" t="n">
        <x:f>MAX(10,ROUNDDOWN((('Calculator'!$B$10+A976)*SQRT('Calculator'!$B$11+B976)*SQRT('Calculator'!$B$12+C976)*0.59740001^2)/10,0))</x:f>
        <x:v>2349</x:v>
      </x:c>
      <x:c r="E976" t="n">
        <x:f>MAX(10,ROUNDDOWN((('Calculator'!$B$10+A976)*SQRT('Calculator'!$B$11+B976)*SQRT('Calculator'!$B$12+C976)*0.667934^2)/10,0))</x:f>
        <x:v>2937</x:v>
      </x:c>
      <x:c r="F976" t="n">
        <x:f>--AND(A976&gt;='Calculator'!$B$5,B976&gt;='Calculator'!$B$5,C976&gt;='Calculator'!$B$5)</x:f>
        <x:v>1</x:v>
      </x:c>
      <x:c r="G976" t="n">
        <x:f>--AND(A976+'Calculator'!$B$6&gt;=15,B976+'Calculator'!$B$6&gt;=15,C976+'Calculator'!$B$6&gt;=15)</x:f>
        <x:v>0</x:v>
      </x:c>
      <x:c r="H976" t="n">
        <x:f>--AND(F976=1,D976='Calculator'!$B$4)</x:f>
        <x:v>0</x:v>
      </x:c>
      <x:c r="I976" t="n">
        <x:f>--AND(H976=1,G976=1)</x:f>
        <x:v>0</x:v>
      </x:c>
      <x:c r="J976" t="n">
        <x:f>--AND(F976=1,E976='Calculator'!$B$4)</x:f>
        <x:v>0</x:v>
      </x:c>
      <x:c r="K976" t="n">
        <x:f>--AND(J976=1,G976=1)</x:f>
        <x:v>0</x:v>
      </x:c>
      <x:c r="L976" t="str">
        <x:f>A976&amp;"/"&amp;B976&amp;"/"&amp;C976</x:f>
        <x:v>15/13/10</x:v>
      </x:c>
      <x:c r="M976" t="str">
        <x:f>MIN(15,A976+'Calculator'!$B$6)&amp;"/"&amp;MIN(15,B976+'Calculator'!$B$6)&amp;"/"&amp;MIN(15,C976+'Calculator'!$B$6)</x:f>
        <x:v>15/15/12</x:v>
      </x:c>
    </x:row>
    <x:row r="977">
      <x:c r="A977" t="n">
        <x:v>15</x:v>
      </x:c>
      <x:c r="B977" t="n">
        <x:v>13</x:v>
      </x:c>
      <x:c r="C977" t="n">
        <x:v>11</x:v>
      </x:c>
      <x:c r="D977" t="n">
        <x:f>MAX(10,ROUNDDOWN((('Calculator'!$B$10+A977)*SQRT('Calculator'!$B$11+B977)*SQRT('Calculator'!$B$12+C977)*0.59740001^2)/10,0))</x:f>
        <x:v>2354</x:v>
      </x:c>
      <x:c r="E977" t="n">
        <x:f>MAX(10,ROUNDDOWN((('Calculator'!$B$10+A977)*SQRT('Calculator'!$B$11+B977)*SQRT('Calculator'!$B$12+C977)*0.667934^2)/10,0))</x:f>
        <x:v>2943</x:v>
      </x:c>
      <x:c r="F977" t="n">
        <x:f>--AND(A977&gt;='Calculator'!$B$5,B977&gt;='Calculator'!$B$5,C977&gt;='Calculator'!$B$5)</x:f>
        <x:v>1</x:v>
      </x:c>
      <x:c r="G977" t="n">
        <x:f>--AND(A977+'Calculator'!$B$6&gt;=15,B977+'Calculator'!$B$6&gt;=15,C977+'Calculator'!$B$6&gt;=15)</x:f>
        <x:v>0</x:v>
      </x:c>
      <x:c r="H977" t="n">
        <x:f>--AND(F977=1,D977='Calculator'!$B$4)</x:f>
        <x:v>0</x:v>
      </x:c>
      <x:c r="I977" t="n">
        <x:f>--AND(H977=1,G977=1)</x:f>
        <x:v>0</x:v>
      </x:c>
      <x:c r="J977" t="n">
        <x:f>--AND(F977=1,E977='Calculator'!$B$4)</x:f>
        <x:v>0</x:v>
      </x:c>
      <x:c r="K977" t="n">
        <x:f>--AND(J977=1,G977=1)</x:f>
        <x:v>0</x:v>
      </x:c>
      <x:c r="L977" t="str">
        <x:f>A977&amp;"/"&amp;B977&amp;"/"&amp;C977</x:f>
        <x:v>15/13/11</x:v>
      </x:c>
      <x:c r="M977" t="str">
        <x:f>MIN(15,A977+'Calculator'!$B$6)&amp;"/"&amp;MIN(15,B977+'Calculator'!$B$6)&amp;"/"&amp;MIN(15,C977+'Calculator'!$B$6)</x:f>
        <x:v>15/15/13</x:v>
      </x:c>
    </x:row>
    <x:row r="978">
      <x:c r="A978" t="n">
        <x:v>15</x:v>
      </x:c>
      <x:c r="B978" t="n">
        <x:v>13</x:v>
      </x:c>
      <x:c r="C978" t="n">
        <x:v>12</x:v>
      </x:c>
      <x:c r="D978" t="n">
        <x:f>MAX(10,ROUNDDOWN((('Calculator'!$B$10+A978)*SQRT('Calculator'!$B$11+B978)*SQRT('Calculator'!$B$12+C978)*0.59740001^2)/10,0))</x:f>
        <x:v>2360</x:v>
      </x:c>
      <x:c r="E978" t="n">
        <x:f>MAX(10,ROUNDDOWN((('Calculator'!$B$10+A978)*SQRT('Calculator'!$B$11+B978)*SQRT('Calculator'!$B$12+C978)*0.667934^2)/10,0))</x:f>
        <x:v>2950</x:v>
      </x:c>
      <x:c r="F978" t="n">
        <x:f>--AND(A978&gt;='Calculator'!$B$5,B978&gt;='Calculator'!$B$5,C978&gt;='Calculator'!$B$5)</x:f>
        <x:v>1</x:v>
      </x:c>
      <x:c r="G978" t="n">
        <x:f>--AND(A978+'Calculator'!$B$6&gt;=15,B978+'Calculator'!$B$6&gt;=15,C978+'Calculator'!$B$6&gt;=15)</x:f>
        <x:v>0</x:v>
      </x:c>
      <x:c r="H978" t="n">
        <x:f>--AND(F978=1,D978='Calculator'!$B$4)</x:f>
        <x:v>0</x:v>
      </x:c>
      <x:c r="I978" t="n">
        <x:f>--AND(H978=1,G978=1)</x:f>
        <x:v>0</x:v>
      </x:c>
      <x:c r="J978" t="n">
        <x:f>--AND(F978=1,E978='Calculator'!$B$4)</x:f>
        <x:v>0</x:v>
      </x:c>
      <x:c r="K978" t="n">
        <x:f>--AND(J978=1,G978=1)</x:f>
        <x:v>0</x:v>
      </x:c>
      <x:c r="L978" t="str">
        <x:f>A978&amp;"/"&amp;B978&amp;"/"&amp;C978</x:f>
        <x:v>15/13/12</x:v>
      </x:c>
      <x:c r="M978" t="str">
        <x:f>MIN(15,A978+'Calculator'!$B$6)&amp;"/"&amp;MIN(15,B978+'Calculator'!$B$6)&amp;"/"&amp;MIN(15,C978+'Calculator'!$B$6)</x:f>
        <x:v>15/15/14</x:v>
      </x:c>
    </x:row>
    <x:row r="979">
      <x:c r="A979" t="n">
        <x:v>15</x:v>
      </x:c>
      <x:c r="B979" t="n">
        <x:v>13</x:v>
      </x:c>
      <x:c r="C979" t="n">
        <x:v>13</x:v>
      </x:c>
      <x:c r="D979" t="n">
        <x:f>MAX(10,ROUNDDOWN((('Calculator'!$B$10+A979)*SQRT('Calculator'!$B$11+B979)*SQRT('Calculator'!$B$12+C979)*0.59740001^2)/10,0))</x:f>
        <x:v>2365</x:v>
      </x:c>
      <x:c r="E979" t="n">
        <x:f>MAX(10,ROUNDDOWN((('Calculator'!$B$10+A979)*SQRT('Calculator'!$B$11+B979)*SQRT('Calculator'!$B$12+C979)*0.667934^2)/10,0))</x:f>
        <x:v>2956</x:v>
      </x:c>
      <x:c r="F979" t="n">
        <x:f>--AND(A979&gt;='Calculator'!$B$5,B979&gt;='Calculator'!$B$5,C979&gt;='Calculator'!$B$5)</x:f>
        <x:v>1</x:v>
      </x:c>
      <x:c r="G979" t="n">
        <x:f>--AND(A979+'Calculator'!$B$6&gt;=15,B979+'Calculator'!$B$6&gt;=15,C979+'Calculator'!$B$6&gt;=15)</x:f>
        <x:v>1</x:v>
      </x:c>
      <x:c r="H979" t="n">
        <x:f>--AND(F979=1,D979='Calculator'!$B$4)</x:f>
        <x:v>0</x:v>
      </x:c>
      <x:c r="I979" t="n">
        <x:f>--AND(H979=1,G979=1)</x:f>
        <x:v>0</x:v>
      </x:c>
      <x:c r="J979" t="n">
        <x:f>--AND(F979=1,E979='Calculator'!$B$4)</x:f>
        <x:v>0</x:v>
      </x:c>
      <x:c r="K979" t="n">
        <x:f>--AND(J979=1,G979=1)</x:f>
        <x:v>0</x:v>
      </x:c>
      <x:c r="L979" t="str">
        <x:f>A979&amp;"/"&amp;B979&amp;"/"&amp;C979</x:f>
        <x:v>15/13/13</x:v>
      </x:c>
      <x:c r="M979" t="str">
        <x:f>MIN(15,A979+'Calculator'!$B$6)&amp;"/"&amp;MIN(15,B979+'Calculator'!$B$6)&amp;"/"&amp;MIN(15,C979+'Calculator'!$B$6)</x:f>
        <x:v>15/15/15</x:v>
      </x:c>
    </x:row>
    <x:row r="980">
      <x:c r="A980" t="n">
        <x:v>15</x:v>
      </x:c>
      <x:c r="B980" t="n">
        <x:v>13</x:v>
      </x:c>
      <x:c r="C980" t="n">
        <x:v>14</x:v>
      </x:c>
      <x:c r="D980" t="n">
        <x:f>MAX(10,ROUNDDOWN((('Calculator'!$B$10+A980)*SQRT('Calculator'!$B$11+B980)*SQRT('Calculator'!$B$12+C980)*0.59740001^2)/10,0))</x:f>
        <x:v>2370</x:v>
      </x:c>
      <x:c r="E980" t="n">
        <x:f>MAX(10,ROUNDDOWN((('Calculator'!$B$10+A980)*SQRT('Calculator'!$B$11+B980)*SQRT('Calculator'!$B$12+C980)*0.667934^2)/10,0))</x:f>
        <x:v>2963</x:v>
      </x:c>
      <x:c r="F980" t="n">
        <x:f>--AND(A980&gt;='Calculator'!$B$5,B980&gt;='Calculator'!$B$5,C980&gt;='Calculator'!$B$5)</x:f>
        <x:v>1</x:v>
      </x:c>
      <x:c r="G980" t="n">
        <x:f>--AND(A980+'Calculator'!$B$6&gt;=15,B980+'Calculator'!$B$6&gt;=15,C980+'Calculator'!$B$6&gt;=15)</x:f>
        <x:v>1</x:v>
      </x:c>
      <x:c r="H980" t="n">
        <x:f>--AND(F980=1,D980='Calculator'!$B$4)</x:f>
        <x:v>0</x:v>
      </x:c>
      <x:c r="I980" t="n">
        <x:f>--AND(H980=1,G980=1)</x:f>
        <x:v>0</x:v>
      </x:c>
      <x:c r="J980" t="n">
        <x:f>--AND(F980=1,E980='Calculator'!$B$4)</x:f>
        <x:v>0</x:v>
      </x:c>
      <x:c r="K980" t="n">
        <x:f>--AND(J980=1,G980=1)</x:f>
        <x:v>0</x:v>
      </x:c>
      <x:c r="L980" t="str">
        <x:f>A980&amp;"/"&amp;B980&amp;"/"&amp;C980</x:f>
        <x:v>15/13/14</x:v>
      </x:c>
      <x:c r="M980" t="str">
        <x:f>MIN(15,A980+'Calculator'!$B$6)&amp;"/"&amp;MIN(15,B980+'Calculator'!$B$6)&amp;"/"&amp;MIN(15,C980+'Calculator'!$B$6)</x:f>
        <x:v>15/15/15</x:v>
      </x:c>
    </x:row>
    <x:row r="981">
      <x:c r="A981" t="n">
        <x:v>15</x:v>
      </x:c>
      <x:c r="B981" t="n">
        <x:v>13</x:v>
      </x:c>
      <x:c r="C981" t="n">
        <x:v>15</x:v>
      </x:c>
      <x:c r="D981" t="n">
        <x:f>MAX(10,ROUNDDOWN((('Calculator'!$B$10+A981)*SQRT('Calculator'!$B$11+B981)*SQRT('Calculator'!$B$12+C981)*0.59740001^2)/10,0))</x:f>
        <x:v>2375</x:v>
      </x:c>
      <x:c r="E981" t="n">
        <x:f>MAX(10,ROUNDDOWN((('Calculator'!$B$10+A981)*SQRT('Calculator'!$B$11+B981)*SQRT('Calculator'!$B$12+C981)*0.667934^2)/10,0))</x:f>
        <x:v>2969</x:v>
      </x:c>
      <x:c r="F981" t="n">
        <x:f>--AND(A981&gt;='Calculator'!$B$5,B981&gt;='Calculator'!$B$5,C981&gt;='Calculator'!$B$5)</x:f>
        <x:v>1</x:v>
      </x:c>
      <x:c r="G981" t="n">
        <x:f>--AND(A981+'Calculator'!$B$6&gt;=15,B981+'Calculator'!$B$6&gt;=15,C981+'Calculator'!$B$6&gt;=15)</x:f>
        <x:v>1</x:v>
      </x:c>
      <x:c r="H981" t="n">
        <x:f>--AND(F981=1,D981='Calculator'!$B$4)</x:f>
        <x:v>0</x:v>
      </x:c>
      <x:c r="I981" t="n">
        <x:f>--AND(H981=1,G981=1)</x:f>
        <x:v>0</x:v>
      </x:c>
      <x:c r="J981" t="n">
        <x:f>--AND(F981=1,E981='Calculator'!$B$4)</x:f>
        <x:v>0</x:v>
      </x:c>
      <x:c r="K981" t="n">
        <x:f>--AND(J981=1,G981=1)</x:f>
        <x:v>0</x:v>
      </x:c>
      <x:c r="L981" t="str">
        <x:f>A981&amp;"/"&amp;B981&amp;"/"&amp;C981</x:f>
        <x:v>15/13/15</x:v>
      </x:c>
      <x:c r="M981" t="str">
        <x:f>MIN(15,A981+'Calculator'!$B$6)&amp;"/"&amp;MIN(15,B981+'Calculator'!$B$6)&amp;"/"&amp;MIN(15,C981+'Calculator'!$B$6)</x:f>
        <x:v>15/15/15</x:v>
      </x:c>
    </x:row>
    <x:row r="982">
      <x:c r="A982" t="n">
        <x:v>15</x:v>
      </x:c>
      <x:c r="B982" t="n">
        <x:v>14</x:v>
      </x:c>
      <x:c r="C982" t="n">
        <x:v>6</x:v>
      </x:c>
      <x:c r="D982" t="n">
        <x:f>MAX(10,ROUNDDOWN((('Calculator'!$B$10+A982)*SQRT('Calculator'!$B$11+B982)*SQRT('Calculator'!$B$12+C982)*0.59740001^2)/10,0))</x:f>
        <x:v>2334</x:v>
      </x:c>
      <x:c r="E982" t="n">
        <x:f>MAX(10,ROUNDDOWN((('Calculator'!$B$10+A982)*SQRT('Calculator'!$B$11+B982)*SQRT('Calculator'!$B$12+C982)*0.667934^2)/10,0))</x:f>
        <x:v>2918</x:v>
      </x:c>
      <x:c r="F982" t="n">
        <x:f>--AND(A982&gt;='Calculator'!$B$5,B982&gt;='Calculator'!$B$5,C982&gt;='Calculator'!$B$5)</x:f>
        <x:v>1</x:v>
      </x:c>
      <x:c r="G982" t="n">
        <x:f>--AND(A982+'Calculator'!$B$6&gt;=15,B982+'Calculator'!$B$6&gt;=15,C982+'Calculator'!$B$6&gt;=15)</x:f>
        <x:v>0</x:v>
      </x:c>
      <x:c r="H982" t="n">
        <x:f>--AND(F982=1,D982='Calculator'!$B$4)</x:f>
        <x:v>0</x:v>
      </x:c>
      <x:c r="I982" t="n">
        <x:f>--AND(H982=1,G982=1)</x:f>
        <x:v>0</x:v>
      </x:c>
      <x:c r="J982" t="n">
        <x:f>--AND(F982=1,E982='Calculator'!$B$4)</x:f>
        <x:v>0</x:v>
      </x:c>
      <x:c r="K982" t="n">
        <x:f>--AND(J982=1,G982=1)</x:f>
        <x:v>0</x:v>
      </x:c>
      <x:c r="L982" t="str">
        <x:f>A982&amp;"/"&amp;B982&amp;"/"&amp;C982</x:f>
        <x:v>15/14/6</x:v>
      </x:c>
      <x:c r="M982" t="str">
        <x:f>MIN(15,A982+'Calculator'!$B$6)&amp;"/"&amp;MIN(15,B982+'Calculator'!$B$6)&amp;"/"&amp;MIN(15,C982+'Calculator'!$B$6)</x:f>
        <x:v>15/15/8</x:v>
      </x:c>
    </x:row>
    <x:row r="983">
      <x:c r="A983" t="n">
        <x:v>15</x:v>
      </x:c>
      <x:c r="B983" t="n">
        <x:v>14</x:v>
      </x:c>
      <x:c r="C983" t="n">
        <x:v>7</x:v>
      </x:c>
      <x:c r="D983" t="n">
        <x:f>MAX(10,ROUNDDOWN((('Calculator'!$B$10+A983)*SQRT('Calculator'!$B$11+B983)*SQRT('Calculator'!$B$12+C983)*0.59740001^2)/10,0))</x:f>
        <x:v>2339</x:v>
      </x:c>
      <x:c r="E983" t="n">
        <x:f>MAX(10,ROUNDDOWN((('Calculator'!$B$10+A983)*SQRT('Calculator'!$B$11+B983)*SQRT('Calculator'!$B$12+C983)*0.667934^2)/10,0))</x:f>
        <x:v>2924</x:v>
      </x:c>
      <x:c r="F983" t="n">
        <x:f>--AND(A983&gt;='Calculator'!$B$5,B983&gt;='Calculator'!$B$5,C983&gt;='Calculator'!$B$5)</x:f>
        <x:v>1</x:v>
      </x:c>
      <x:c r="G983" t="n">
        <x:f>--AND(A983+'Calculator'!$B$6&gt;=15,B983+'Calculator'!$B$6&gt;=15,C983+'Calculator'!$B$6&gt;=15)</x:f>
        <x:v>0</x:v>
      </x:c>
      <x:c r="H983" t="n">
        <x:f>--AND(F983=1,D983='Calculator'!$B$4)</x:f>
        <x:v>0</x:v>
      </x:c>
      <x:c r="I983" t="n">
        <x:f>--AND(H983=1,G983=1)</x:f>
        <x:v>0</x:v>
      </x:c>
      <x:c r="J983" t="n">
        <x:f>--AND(F983=1,E983='Calculator'!$B$4)</x:f>
        <x:v>0</x:v>
      </x:c>
      <x:c r="K983" t="n">
        <x:f>--AND(J983=1,G983=1)</x:f>
        <x:v>0</x:v>
      </x:c>
      <x:c r="L983" t="str">
        <x:f>A983&amp;"/"&amp;B983&amp;"/"&amp;C983</x:f>
        <x:v>15/14/7</x:v>
      </x:c>
      <x:c r="M983" t="str">
        <x:f>MIN(15,A983+'Calculator'!$B$6)&amp;"/"&amp;MIN(15,B983+'Calculator'!$B$6)&amp;"/"&amp;MIN(15,C983+'Calculator'!$B$6)</x:f>
        <x:v>15/15/9</x:v>
      </x:c>
    </x:row>
    <x:row r="984">
      <x:c r="A984" t="n">
        <x:v>15</x:v>
      </x:c>
      <x:c r="B984" t="n">
        <x:v>14</x:v>
      </x:c>
      <x:c r="C984" t="n">
        <x:v>8</x:v>
      </x:c>
      <x:c r="D984" t="n">
        <x:f>MAX(10,ROUNDDOWN((('Calculator'!$B$10+A984)*SQRT('Calculator'!$B$11+B984)*SQRT('Calculator'!$B$12+C984)*0.59740001^2)/10,0))</x:f>
        <x:v>2345</x:v>
      </x:c>
      <x:c r="E984" t="n">
        <x:f>MAX(10,ROUNDDOWN((('Calculator'!$B$10+A984)*SQRT('Calculator'!$B$11+B984)*SQRT('Calculator'!$B$12+C984)*0.667934^2)/10,0))</x:f>
        <x:v>2931</x:v>
      </x:c>
      <x:c r="F984" t="n">
        <x:f>--AND(A984&gt;='Calculator'!$B$5,B984&gt;='Calculator'!$B$5,C984&gt;='Calculator'!$B$5)</x:f>
        <x:v>1</x:v>
      </x:c>
      <x:c r="G984" t="n">
        <x:f>--AND(A984+'Calculator'!$B$6&gt;=15,B984+'Calculator'!$B$6&gt;=15,C984+'Calculator'!$B$6&gt;=15)</x:f>
        <x:v>0</x:v>
      </x:c>
      <x:c r="H984" t="n">
        <x:f>--AND(F984=1,D984='Calculator'!$B$4)</x:f>
        <x:v>0</x:v>
      </x:c>
      <x:c r="I984" t="n">
        <x:f>--AND(H984=1,G984=1)</x:f>
        <x:v>0</x:v>
      </x:c>
      <x:c r="J984" t="n">
        <x:f>--AND(F984=1,E984='Calculator'!$B$4)</x:f>
        <x:v>0</x:v>
      </x:c>
      <x:c r="K984" t="n">
        <x:f>--AND(J984=1,G984=1)</x:f>
        <x:v>0</x:v>
      </x:c>
      <x:c r="L984" t="str">
        <x:f>A984&amp;"/"&amp;B984&amp;"/"&amp;C984</x:f>
        <x:v>15/14/8</x:v>
      </x:c>
      <x:c r="M984" t="str">
        <x:f>MIN(15,A984+'Calculator'!$B$6)&amp;"/"&amp;MIN(15,B984+'Calculator'!$B$6)&amp;"/"&amp;MIN(15,C984+'Calculator'!$B$6)</x:f>
        <x:v>15/15/10</x:v>
      </x:c>
    </x:row>
    <x:row r="985">
      <x:c r="A985" t="n">
        <x:v>15</x:v>
      </x:c>
      <x:c r="B985" t="n">
        <x:v>14</x:v>
      </x:c>
      <x:c r="C985" t="n">
        <x:v>9</x:v>
      </x:c>
      <x:c r="D985" t="n">
        <x:f>MAX(10,ROUNDDOWN((('Calculator'!$B$10+A985)*SQRT('Calculator'!$B$11+B985)*SQRT('Calculator'!$B$12+C985)*0.59740001^2)/10,0))</x:f>
        <x:v>2350</x:v>
      </x:c>
      <x:c r="E985" t="n">
        <x:f>MAX(10,ROUNDDOWN((('Calculator'!$B$10+A985)*SQRT('Calculator'!$B$11+B985)*SQRT('Calculator'!$B$12+C985)*0.667934^2)/10,0))</x:f>
        <x:v>2938</x:v>
      </x:c>
      <x:c r="F985" t="n">
        <x:f>--AND(A985&gt;='Calculator'!$B$5,B985&gt;='Calculator'!$B$5,C985&gt;='Calculator'!$B$5)</x:f>
        <x:v>1</x:v>
      </x:c>
      <x:c r="G985" t="n">
        <x:f>--AND(A985+'Calculator'!$B$6&gt;=15,B985+'Calculator'!$B$6&gt;=15,C985+'Calculator'!$B$6&gt;=15)</x:f>
        <x:v>0</x:v>
      </x:c>
      <x:c r="H985" t="n">
        <x:f>--AND(F985=1,D985='Calculator'!$B$4)</x:f>
        <x:v>0</x:v>
      </x:c>
      <x:c r="I985" t="n">
        <x:f>--AND(H985=1,G985=1)</x:f>
        <x:v>0</x:v>
      </x:c>
      <x:c r="J985" t="n">
        <x:f>--AND(F985=1,E985='Calculator'!$B$4)</x:f>
        <x:v>0</x:v>
      </x:c>
      <x:c r="K985" t="n">
        <x:f>--AND(J985=1,G985=1)</x:f>
        <x:v>0</x:v>
      </x:c>
      <x:c r="L985" t="str">
        <x:f>A985&amp;"/"&amp;B985&amp;"/"&amp;C985</x:f>
        <x:v>15/14/9</x:v>
      </x:c>
      <x:c r="M985" t="str">
        <x:f>MIN(15,A985+'Calculator'!$B$6)&amp;"/"&amp;MIN(15,B985+'Calculator'!$B$6)&amp;"/"&amp;MIN(15,C985+'Calculator'!$B$6)</x:f>
        <x:v>15/15/11</x:v>
      </x:c>
    </x:row>
    <x:row r="986">
      <x:c r="A986" t="n">
        <x:v>15</x:v>
      </x:c>
      <x:c r="B986" t="n">
        <x:v>14</x:v>
      </x:c>
      <x:c r="C986" t="n">
        <x:v>10</x:v>
      </x:c>
      <x:c r="D986" t="n">
        <x:f>MAX(10,ROUNDDOWN((('Calculator'!$B$10+A986)*SQRT('Calculator'!$B$11+B986)*SQRT('Calculator'!$B$12+C986)*0.59740001^2)/10,0))</x:f>
        <x:v>2355</x:v>
      </x:c>
      <x:c r="E986" t="n">
        <x:f>MAX(10,ROUNDDOWN((('Calculator'!$B$10+A986)*SQRT('Calculator'!$B$11+B986)*SQRT('Calculator'!$B$12+C986)*0.667934^2)/10,0))</x:f>
        <x:v>2944</x:v>
      </x:c>
      <x:c r="F986" t="n">
        <x:f>--AND(A986&gt;='Calculator'!$B$5,B986&gt;='Calculator'!$B$5,C986&gt;='Calculator'!$B$5)</x:f>
        <x:v>1</x:v>
      </x:c>
      <x:c r="G986" t="n">
        <x:f>--AND(A986+'Calculator'!$B$6&gt;=15,B986+'Calculator'!$B$6&gt;=15,C986+'Calculator'!$B$6&gt;=15)</x:f>
        <x:v>0</x:v>
      </x:c>
      <x:c r="H986" t="n">
        <x:f>--AND(F986=1,D986='Calculator'!$B$4)</x:f>
        <x:v>0</x:v>
      </x:c>
      <x:c r="I986" t="n">
        <x:f>--AND(H986=1,G986=1)</x:f>
        <x:v>0</x:v>
      </x:c>
      <x:c r="J986" t="n">
        <x:f>--AND(F986=1,E986='Calculator'!$B$4)</x:f>
        <x:v>0</x:v>
      </x:c>
      <x:c r="K986" t="n">
        <x:f>--AND(J986=1,G986=1)</x:f>
        <x:v>0</x:v>
      </x:c>
      <x:c r="L986" t="str">
        <x:f>A986&amp;"/"&amp;B986&amp;"/"&amp;C986</x:f>
        <x:v>15/14/10</x:v>
      </x:c>
      <x:c r="M986" t="str">
        <x:f>MIN(15,A986+'Calculator'!$B$6)&amp;"/"&amp;MIN(15,B986+'Calculator'!$B$6)&amp;"/"&amp;MIN(15,C986+'Calculator'!$B$6)</x:f>
        <x:v>15/15/12</x:v>
      </x:c>
    </x:row>
    <x:row r="987">
      <x:c r="A987" t="n">
        <x:v>15</x:v>
      </x:c>
      <x:c r="B987" t="n">
        <x:v>14</x:v>
      </x:c>
      <x:c r="C987" t="n">
        <x:v>11</x:v>
      </x:c>
      <x:c r="D987" t="n">
        <x:f>MAX(10,ROUNDDOWN((('Calculator'!$B$10+A987)*SQRT('Calculator'!$B$11+B987)*SQRT('Calculator'!$B$12+C987)*0.59740001^2)/10,0))</x:f>
        <x:v>2360</x:v>
      </x:c>
      <x:c r="E987" t="n">
        <x:f>MAX(10,ROUNDDOWN((('Calculator'!$B$10+A987)*SQRT('Calculator'!$B$11+B987)*SQRT('Calculator'!$B$12+C987)*0.667934^2)/10,0))</x:f>
        <x:v>2951</x:v>
      </x:c>
      <x:c r="F987" t="n">
        <x:f>--AND(A987&gt;='Calculator'!$B$5,B987&gt;='Calculator'!$B$5,C987&gt;='Calculator'!$B$5)</x:f>
        <x:v>1</x:v>
      </x:c>
      <x:c r="G987" t="n">
        <x:f>--AND(A987+'Calculator'!$B$6&gt;=15,B987+'Calculator'!$B$6&gt;=15,C987+'Calculator'!$B$6&gt;=15)</x:f>
        <x:v>0</x:v>
      </x:c>
      <x:c r="H987" t="n">
        <x:f>--AND(F987=1,D987='Calculator'!$B$4)</x:f>
        <x:v>0</x:v>
      </x:c>
      <x:c r="I987" t="n">
        <x:f>--AND(H987=1,G987=1)</x:f>
        <x:v>0</x:v>
      </x:c>
      <x:c r="J987" t="n">
        <x:f>--AND(F987=1,E987='Calculator'!$B$4)</x:f>
        <x:v>0</x:v>
      </x:c>
      <x:c r="K987" t="n">
        <x:f>--AND(J987=1,G987=1)</x:f>
        <x:v>0</x:v>
      </x:c>
      <x:c r="L987" t="str">
        <x:f>A987&amp;"/"&amp;B987&amp;"/"&amp;C987</x:f>
        <x:v>15/14/11</x:v>
      </x:c>
      <x:c r="M987" t="str">
        <x:f>MIN(15,A987+'Calculator'!$B$6)&amp;"/"&amp;MIN(15,B987+'Calculator'!$B$6)&amp;"/"&amp;MIN(15,C987+'Calculator'!$B$6)</x:f>
        <x:v>15/15/13</x:v>
      </x:c>
    </x:row>
    <x:row r="988">
      <x:c r="A988" t="n">
        <x:v>15</x:v>
      </x:c>
      <x:c r="B988" t="n">
        <x:v>14</x:v>
      </x:c>
      <x:c r="C988" t="n">
        <x:v>12</x:v>
      </x:c>
      <x:c r="D988" t="n">
        <x:f>MAX(10,ROUNDDOWN((('Calculator'!$B$10+A988)*SQRT('Calculator'!$B$11+B988)*SQRT('Calculator'!$B$12+C988)*0.59740001^2)/10,0))</x:f>
        <x:v>2366</x:v>
      </x:c>
      <x:c r="E988" t="n">
        <x:f>MAX(10,ROUNDDOWN((('Calculator'!$B$10+A988)*SQRT('Calculator'!$B$11+B988)*SQRT('Calculator'!$B$12+C988)*0.667934^2)/10,0))</x:f>
        <x:v>2957</x:v>
      </x:c>
      <x:c r="F988" t="n">
        <x:f>--AND(A988&gt;='Calculator'!$B$5,B988&gt;='Calculator'!$B$5,C988&gt;='Calculator'!$B$5)</x:f>
        <x:v>1</x:v>
      </x:c>
      <x:c r="G988" t="n">
        <x:f>--AND(A988+'Calculator'!$B$6&gt;=15,B988+'Calculator'!$B$6&gt;=15,C988+'Calculator'!$B$6&gt;=15)</x:f>
        <x:v>0</x:v>
      </x:c>
      <x:c r="H988" t="n">
        <x:f>--AND(F988=1,D988='Calculator'!$B$4)</x:f>
        <x:v>0</x:v>
      </x:c>
      <x:c r="I988" t="n">
        <x:f>--AND(H988=1,G988=1)</x:f>
        <x:v>0</x:v>
      </x:c>
      <x:c r="J988" t="n">
        <x:f>--AND(F988=1,E988='Calculator'!$B$4)</x:f>
        <x:v>0</x:v>
      </x:c>
      <x:c r="K988" t="n">
        <x:f>--AND(J988=1,G988=1)</x:f>
        <x:v>0</x:v>
      </x:c>
      <x:c r="L988" t="str">
        <x:f>A988&amp;"/"&amp;B988&amp;"/"&amp;C988</x:f>
        <x:v>15/14/12</x:v>
      </x:c>
      <x:c r="M988" t="str">
        <x:f>MIN(15,A988+'Calculator'!$B$6)&amp;"/"&amp;MIN(15,B988+'Calculator'!$B$6)&amp;"/"&amp;MIN(15,C988+'Calculator'!$B$6)</x:f>
        <x:v>15/15/14</x:v>
      </x:c>
    </x:row>
    <x:row r="989">
      <x:c r="A989" t="n">
        <x:v>15</x:v>
      </x:c>
      <x:c r="B989" t="n">
        <x:v>14</x:v>
      </x:c>
      <x:c r="C989" t="n">
        <x:v>13</x:v>
      </x:c>
      <x:c r="D989" t="n">
        <x:f>MAX(10,ROUNDDOWN((('Calculator'!$B$10+A989)*SQRT('Calculator'!$B$11+B989)*SQRT('Calculator'!$B$12+C989)*0.59740001^2)/10,0))</x:f>
        <x:v>2371</x:v>
      </x:c>
      <x:c r="E989" t="n">
        <x:f>MAX(10,ROUNDDOWN((('Calculator'!$B$10+A989)*SQRT('Calculator'!$B$11+B989)*SQRT('Calculator'!$B$12+C989)*0.667934^2)/10,0))</x:f>
        <x:v>2964</x:v>
      </x:c>
      <x:c r="F989" t="n">
        <x:f>--AND(A989&gt;='Calculator'!$B$5,B989&gt;='Calculator'!$B$5,C989&gt;='Calculator'!$B$5)</x:f>
        <x:v>1</x:v>
      </x:c>
      <x:c r="G989" t="n">
        <x:f>--AND(A989+'Calculator'!$B$6&gt;=15,B989+'Calculator'!$B$6&gt;=15,C989+'Calculator'!$B$6&gt;=15)</x:f>
        <x:v>1</x:v>
      </x:c>
      <x:c r="H989" t="n">
        <x:f>--AND(F989=1,D989='Calculator'!$B$4)</x:f>
        <x:v>0</x:v>
      </x:c>
      <x:c r="I989" t="n">
        <x:f>--AND(H989=1,G989=1)</x:f>
        <x:v>0</x:v>
      </x:c>
      <x:c r="J989" t="n">
        <x:f>--AND(F989=1,E989='Calculator'!$B$4)</x:f>
        <x:v>0</x:v>
      </x:c>
      <x:c r="K989" t="n">
        <x:f>--AND(J989=1,G989=1)</x:f>
        <x:v>0</x:v>
      </x:c>
      <x:c r="L989" t="str">
        <x:f>A989&amp;"/"&amp;B989&amp;"/"&amp;C989</x:f>
        <x:v>15/14/13</x:v>
      </x:c>
      <x:c r="M989" t="str">
        <x:f>MIN(15,A989+'Calculator'!$B$6)&amp;"/"&amp;MIN(15,B989+'Calculator'!$B$6)&amp;"/"&amp;MIN(15,C989+'Calculator'!$B$6)</x:f>
        <x:v>15/15/15</x:v>
      </x:c>
    </x:row>
    <x:row r="990">
      <x:c r="A990" t="n">
        <x:v>15</x:v>
      </x:c>
      <x:c r="B990" t="n">
        <x:v>14</x:v>
      </x:c>
      <x:c r="C990" t="n">
        <x:v>14</x:v>
      </x:c>
      <x:c r="D990" t="n">
        <x:f>MAX(10,ROUNDDOWN((('Calculator'!$B$10+A990)*SQRT('Calculator'!$B$11+B990)*SQRT('Calculator'!$B$12+C990)*0.59740001^2)/10,0))</x:f>
        <x:v>2376</x:v>
      </x:c>
      <x:c r="E990" t="n">
        <x:f>MAX(10,ROUNDDOWN((('Calculator'!$B$10+A990)*SQRT('Calculator'!$B$11+B990)*SQRT('Calculator'!$B$12+C990)*0.667934^2)/10,0))</x:f>
        <x:v>2970</x:v>
      </x:c>
      <x:c r="F990" t="n">
        <x:f>--AND(A990&gt;='Calculator'!$B$5,B990&gt;='Calculator'!$B$5,C990&gt;='Calculator'!$B$5)</x:f>
        <x:v>1</x:v>
      </x:c>
      <x:c r="G990" t="n">
        <x:f>--AND(A990+'Calculator'!$B$6&gt;=15,B990+'Calculator'!$B$6&gt;=15,C990+'Calculator'!$B$6&gt;=15)</x:f>
        <x:v>1</x:v>
      </x:c>
      <x:c r="H990" t="n">
        <x:f>--AND(F990=1,D990='Calculator'!$B$4)</x:f>
        <x:v>0</x:v>
      </x:c>
      <x:c r="I990" t="n">
        <x:f>--AND(H990=1,G990=1)</x:f>
        <x:v>0</x:v>
      </x:c>
      <x:c r="J990" t="n">
        <x:f>--AND(F990=1,E990='Calculator'!$B$4)</x:f>
        <x:v>0</x:v>
      </x:c>
      <x:c r="K990" t="n">
        <x:f>--AND(J990=1,G990=1)</x:f>
        <x:v>0</x:v>
      </x:c>
      <x:c r="L990" t="str">
        <x:f>A990&amp;"/"&amp;B990&amp;"/"&amp;C990</x:f>
        <x:v>15/14/14</x:v>
      </x:c>
      <x:c r="M990" t="str">
        <x:f>MIN(15,A990+'Calculator'!$B$6)&amp;"/"&amp;MIN(15,B990+'Calculator'!$B$6)&amp;"/"&amp;MIN(15,C990+'Calculator'!$B$6)</x:f>
        <x:v>15/15/15</x:v>
      </x:c>
    </x:row>
    <x:row r="991">
      <x:c r="A991" t="n">
        <x:v>15</x:v>
      </x:c>
      <x:c r="B991" t="n">
        <x:v>14</x:v>
      </x:c>
      <x:c r="C991" t="n">
        <x:v>15</x:v>
      </x:c>
      <x:c r="D991" t="n">
        <x:f>MAX(10,ROUNDDOWN((('Calculator'!$B$10+A991)*SQRT('Calculator'!$B$11+B991)*SQRT('Calculator'!$B$12+C991)*0.59740001^2)/10,0))</x:f>
        <x:v>2381</x:v>
      </x:c>
      <x:c r="E991" t="n">
        <x:f>MAX(10,ROUNDDOWN((('Calculator'!$B$10+A991)*SQRT('Calculator'!$B$11+B991)*SQRT('Calculator'!$B$12+C991)*0.667934^2)/10,0))</x:f>
        <x:v>2977</x:v>
      </x:c>
      <x:c r="F991" t="n">
        <x:f>--AND(A991&gt;='Calculator'!$B$5,B991&gt;='Calculator'!$B$5,C991&gt;='Calculator'!$B$5)</x:f>
        <x:v>1</x:v>
      </x:c>
      <x:c r="G991" t="n">
        <x:f>--AND(A991+'Calculator'!$B$6&gt;=15,B991+'Calculator'!$B$6&gt;=15,C991+'Calculator'!$B$6&gt;=15)</x:f>
        <x:v>1</x:v>
      </x:c>
      <x:c r="H991" t="n">
        <x:f>--AND(F991=1,D991='Calculator'!$B$4)</x:f>
        <x:v>0</x:v>
      </x:c>
      <x:c r="I991" t="n">
        <x:f>--AND(H991=1,G991=1)</x:f>
        <x:v>0</x:v>
      </x:c>
      <x:c r="J991" t="n">
        <x:f>--AND(F991=1,E991='Calculator'!$B$4)</x:f>
        <x:v>0</x:v>
      </x:c>
      <x:c r="K991" t="n">
        <x:f>--AND(J991=1,G991=1)</x:f>
        <x:v>0</x:v>
      </x:c>
      <x:c r="L991" t="str">
        <x:f>A991&amp;"/"&amp;B991&amp;"/"&amp;C991</x:f>
        <x:v>15/14/15</x:v>
      </x:c>
      <x:c r="M991" t="str">
        <x:f>MIN(15,A991+'Calculator'!$B$6)&amp;"/"&amp;MIN(15,B991+'Calculator'!$B$6)&amp;"/"&amp;MIN(15,C991+'Calculator'!$B$6)</x:f>
        <x:v>15/15/15</x:v>
      </x:c>
    </x:row>
    <x:row r="992">
      <x:c r="A992" t="n">
        <x:v>15</x:v>
      </x:c>
      <x:c r="B992" t="n">
        <x:v>15</x:v>
      </x:c>
      <x:c r="C992" t="n">
        <x:v>6</x:v>
      </x:c>
      <x:c r="D992" t="n">
        <x:f>MAX(10,ROUNDDOWN((('Calculator'!$B$10+A992)*SQRT('Calculator'!$B$11+B992)*SQRT('Calculator'!$B$12+C992)*0.59740001^2)/10,0))</x:f>
        <x:v>2340</x:v>
      </x:c>
      <x:c r="E992" t="n">
        <x:f>MAX(10,ROUNDDOWN((('Calculator'!$B$10+A992)*SQRT('Calculator'!$B$11+B992)*SQRT('Calculator'!$B$12+C992)*0.667934^2)/10,0))</x:f>
        <x:v>2925</x:v>
      </x:c>
      <x:c r="F992" t="n">
        <x:f>--AND(A992&gt;='Calculator'!$B$5,B992&gt;='Calculator'!$B$5,C992&gt;='Calculator'!$B$5)</x:f>
        <x:v>1</x:v>
      </x:c>
      <x:c r="G992" t="n">
        <x:f>--AND(A992+'Calculator'!$B$6&gt;=15,B992+'Calculator'!$B$6&gt;=15,C992+'Calculator'!$B$6&gt;=15)</x:f>
        <x:v>0</x:v>
      </x:c>
      <x:c r="H992" t="n">
        <x:f>--AND(F992=1,D992='Calculator'!$B$4)</x:f>
        <x:v>0</x:v>
      </x:c>
      <x:c r="I992" t="n">
        <x:f>--AND(H992=1,G992=1)</x:f>
        <x:v>0</x:v>
      </x:c>
      <x:c r="J992" t="n">
        <x:f>--AND(F992=1,E992='Calculator'!$B$4)</x:f>
        <x:v>0</x:v>
      </x:c>
      <x:c r="K992" t="n">
        <x:f>--AND(J992=1,G992=1)</x:f>
        <x:v>0</x:v>
      </x:c>
      <x:c r="L992" t="str">
        <x:f>A992&amp;"/"&amp;B992&amp;"/"&amp;C992</x:f>
        <x:v>15/15/6</x:v>
      </x:c>
      <x:c r="M992" t="str">
        <x:f>MIN(15,A992+'Calculator'!$B$6)&amp;"/"&amp;MIN(15,B992+'Calculator'!$B$6)&amp;"/"&amp;MIN(15,C992+'Calculator'!$B$6)</x:f>
        <x:v>15/15/8</x:v>
      </x:c>
    </x:row>
    <x:row r="993">
      <x:c r="A993" t="n">
        <x:v>15</x:v>
      </x:c>
      <x:c r="B993" t="n">
        <x:v>15</x:v>
      </x:c>
      <x:c r="C993" t="n">
        <x:v>7</x:v>
      </x:c>
      <x:c r="D993" t="n">
        <x:f>MAX(10,ROUNDDOWN((('Calculator'!$B$10+A993)*SQRT('Calculator'!$B$11+B993)*SQRT('Calculator'!$B$12+C993)*0.59740001^2)/10,0))</x:f>
        <x:v>2345</x:v>
      </x:c>
      <x:c r="E993" t="n">
        <x:f>MAX(10,ROUNDDOWN((('Calculator'!$B$10+A993)*SQRT('Calculator'!$B$11+B993)*SQRT('Calculator'!$B$12+C993)*0.667934^2)/10,0))</x:f>
        <x:v>2932</x:v>
      </x:c>
      <x:c r="F993" t="n">
        <x:f>--AND(A993&gt;='Calculator'!$B$5,B993&gt;='Calculator'!$B$5,C993&gt;='Calculator'!$B$5)</x:f>
        <x:v>1</x:v>
      </x:c>
      <x:c r="G993" t="n">
        <x:f>--AND(A993+'Calculator'!$B$6&gt;=15,B993+'Calculator'!$B$6&gt;=15,C993+'Calculator'!$B$6&gt;=15)</x:f>
        <x:v>0</x:v>
      </x:c>
      <x:c r="H993" t="n">
        <x:f>--AND(F993=1,D993='Calculator'!$B$4)</x:f>
        <x:v>0</x:v>
      </x:c>
      <x:c r="I993" t="n">
        <x:f>--AND(H993=1,G993=1)</x:f>
        <x:v>0</x:v>
      </x:c>
      <x:c r="J993" t="n">
        <x:f>--AND(F993=1,E993='Calculator'!$B$4)</x:f>
        <x:v>0</x:v>
      </x:c>
      <x:c r="K993" t="n">
        <x:f>--AND(J993=1,G993=1)</x:f>
        <x:v>0</x:v>
      </x:c>
      <x:c r="L993" t="str">
        <x:f>A993&amp;"/"&amp;B993&amp;"/"&amp;C993</x:f>
        <x:v>15/15/7</x:v>
      </x:c>
      <x:c r="M993" t="str">
        <x:f>MIN(15,A993+'Calculator'!$B$6)&amp;"/"&amp;MIN(15,B993+'Calculator'!$B$6)&amp;"/"&amp;MIN(15,C993+'Calculator'!$B$6)</x:f>
        <x:v>15/15/9</x:v>
      </x:c>
    </x:row>
    <x:row r="994">
      <x:c r="A994" t="n">
        <x:v>15</x:v>
      </x:c>
      <x:c r="B994" t="n">
        <x:v>15</x:v>
      </x:c>
      <x:c r="C994" t="n">
        <x:v>8</x:v>
      </x:c>
      <x:c r="D994" t="n">
        <x:f>MAX(10,ROUNDDOWN((('Calculator'!$B$10+A994)*SQRT('Calculator'!$B$11+B994)*SQRT('Calculator'!$B$12+C994)*0.59740001^2)/10,0))</x:f>
        <x:v>2350</x:v>
      </x:c>
      <x:c r="E994" t="n">
        <x:f>MAX(10,ROUNDDOWN((('Calculator'!$B$10+A994)*SQRT('Calculator'!$B$11+B994)*SQRT('Calculator'!$B$12+C994)*0.667934^2)/10,0))</x:f>
        <x:v>2938</x:v>
      </x:c>
      <x:c r="F994" t="n">
        <x:f>--AND(A994&gt;='Calculator'!$B$5,B994&gt;='Calculator'!$B$5,C994&gt;='Calculator'!$B$5)</x:f>
        <x:v>1</x:v>
      </x:c>
      <x:c r="G994" t="n">
        <x:f>--AND(A994+'Calculator'!$B$6&gt;=15,B994+'Calculator'!$B$6&gt;=15,C994+'Calculator'!$B$6&gt;=15)</x:f>
        <x:v>0</x:v>
      </x:c>
      <x:c r="H994" t="n">
        <x:f>--AND(F994=1,D994='Calculator'!$B$4)</x:f>
        <x:v>0</x:v>
      </x:c>
      <x:c r="I994" t="n">
        <x:f>--AND(H994=1,G994=1)</x:f>
        <x:v>0</x:v>
      </x:c>
      <x:c r="J994" t="n">
        <x:f>--AND(F994=1,E994='Calculator'!$B$4)</x:f>
        <x:v>0</x:v>
      </x:c>
      <x:c r="K994" t="n">
        <x:f>--AND(J994=1,G994=1)</x:f>
        <x:v>0</x:v>
      </x:c>
      <x:c r="L994" t="str">
        <x:f>A994&amp;"/"&amp;B994&amp;"/"&amp;C994</x:f>
        <x:v>15/15/8</x:v>
      </x:c>
      <x:c r="M994" t="str">
        <x:f>MIN(15,A994+'Calculator'!$B$6)&amp;"/"&amp;MIN(15,B994+'Calculator'!$B$6)&amp;"/"&amp;MIN(15,C994+'Calculator'!$B$6)</x:f>
        <x:v>15/15/10</x:v>
      </x:c>
    </x:row>
    <x:row r="995">
      <x:c r="A995" t="n">
        <x:v>15</x:v>
      </x:c>
      <x:c r="B995" t="n">
        <x:v>15</x:v>
      </x:c>
      <x:c r="C995" t="n">
        <x:v>9</x:v>
      </x:c>
      <x:c r="D995" t="n">
        <x:f>MAX(10,ROUNDDOWN((('Calculator'!$B$10+A995)*SQRT('Calculator'!$B$11+B995)*SQRT('Calculator'!$B$12+C995)*0.59740001^2)/10,0))</x:f>
        <x:v>2356</x:v>
      </x:c>
      <x:c r="E995" t="n">
        <x:f>MAX(10,ROUNDDOWN((('Calculator'!$B$10+A995)*SQRT('Calculator'!$B$11+B995)*SQRT('Calculator'!$B$12+C995)*0.667934^2)/10,0))</x:f>
        <x:v>2945</x:v>
      </x:c>
      <x:c r="F995" t="n">
        <x:f>--AND(A995&gt;='Calculator'!$B$5,B995&gt;='Calculator'!$B$5,C995&gt;='Calculator'!$B$5)</x:f>
        <x:v>1</x:v>
      </x:c>
      <x:c r="G995" t="n">
        <x:f>--AND(A995+'Calculator'!$B$6&gt;=15,B995+'Calculator'!$B$6&gt;=15,C995+'Calculator'!$B$6&gt;=15)</x:f>
        <x:v>0</x:v>
      </x:c>
      <x:c r="H995" t="n">
        <x:f>--AND(F995=1,D995='Calculator'!$B$4)</x:f>
        <x:v>0</x:v>
      </x:c>
      <x:c r="I995" t="n">
        <x:f>--AND(H995=1,G995=1)</x:f>
        <x:v>0</x:v>
      </x:c>
      <x:c r="J995" t="n">
        <x:f>--AND(F995=1,E995='Calculator'!$B$4)</x:f>
        <x:v>0</x:v>
      </x:c>
      <x:c r="K995" t="n">
        <x:f>--AND(J995=1,G995=1)</x:f>
        <x:v>0</x:v>
      </x:c>
      <x:c r="L995" t="str">
        <x:f>A995&amp;"/"&amp;B995&amp;"/"&amp;C995</x:f>
        <x:v>15/15/9</x:v>
      </x:c>
      <x:c r="M995" t="str">
        <x:f>MIN(15,A995+'Calculator'!$B$6)&amp;"/"&amp;MIN(15,B995+'Calculator'!$B$6)&amp;"/"&amp;MIN(15,C995+'Calculator'!$B$6)</x:f>
        <x:v>15/15/11</x:v>
      </x:c>
    </x:row>
    <x:row r="996">
      <x:c r="A996" t="n">
        <x:v>15</x:v>
      </x:c>
      <x:c r="B996" t="n">
        <x:v>15</x:v>
      </x:c>
      <x:c r="C996" t="n">
        <x:v>10</x:v>
      </x:c>
      <x:c r="D996" t="n">
        <x:f>MAX(10,ROUNDDOWN((('Calculator'!$B$10+A996)*SQRT('Calculator'!$B$11+B996)*SQRT('Calculator'!$B$12+C996)*0.59740001^2)/10,0))</x:f>
        <x:v>2361</x:v>
      </x:c>
      <x:c r="E996" t="n">
        <x:f>MAX(10,ROUNDDOWN((('Calculator'!$B$10+A996)*SQRT('Calculator'!$B$11+B996)*SQRT('Calculator'!$B$12+C996)*0.667934^2)/10,0))</x:f>
        <x:v>2952</x:v>
      </x:c>
      <x:c r="F996" t="n">
        <x:f>--AND(A996&gt;='Calculator'!$B$5,B996&gt;='Calculator'!$B$5,C996&gt;='Calculator'!$B$5)</x:f>
        <x:v>1</x:v>
      </x:c>
      <x:c r="G996" t="n">
        <x:f>--AND(A996+'Calculator'!$B$6&gt;=15,B996+'Calculator'!$B$6&gt;=15,C996+'Calculator'!$B$6&gt;=15)</x:f>
        <x:v>0</x:v>
      </x:c>
      <x:c r="H996" t="n">
        <x:f>--AND(F996=1,D996='Calculator'!$B$4)</x:f>
        <x:v>0</x:v>
      </x:c>
      <x:c r="I996" t="n">
        <x:f>--AND(H996=1,G996=1)</x:f>
        <x:v>0</x:v>
      </x:c>
      <x:c r="J996" t="n">
        <x:f>--AND(F996=1,E996='Calculator'!$B$4)</x:f>
        <x:v>0</x:v>
      </x:c>
      <x:c r="K996" t="n">
        <x:f>--AND(J996=1,G996=1)</x:f>
        <x:v>0</x:v>
      </x:c>
      <x:c r="L996" t="str">
        <x:f>A996&amp;"/"&amp;B996&amp;"/"&amp;C996</x:f>
        <x:v>15/15/10</x:v>
      </x:c>
      <x:c r="M996" t="str">
        <x:f>MIN(15,A996+'Calculator'!$B$6)&amp;"/"&amp;MIN(15,B996+'Calculator'!$B$6)&amp;"/"&amp;MIN(15,C996+'Calculator'!$B$6)</x:f>
        <x:v>15/15/12</x:v>
      </x:c>
    </x:row>
    <x:row r="997">
      <x:c r="A997" t="n">
        <x:v>15</x:v>
      </x:c>
      <x:c r="B997" t="n">
        <x:v>15</x:v>
      </x:c>
      <x:c r="C997" t="n">
        <x:v>11</x:v>
      </x:c>
      <x:c r="D997" t="n">
        <x:f>MAX(10,ROUNDDOWN((('Calculator'!$B$10+A997)*SQRT('Calculator'!$B$11+B997)*SQRT('Calculator'!$B$12+C997)*0.59740001^2)/10,0))</x:f>
        <x:v>2366</x:v>
      </x:c>
      <x:c r="E997" t="n">
        <x:f>MAX(10,ROUNDDOWN((('Calculator'!$B$10+A997)*SQRT('Calculator'!$B$11+B997)*SQRT('Calculator'!$B$12+C997)*0.667934^2)/10,0))</x:f>
        <x:v>2958</x:v>
      </x:c>
      <x:c r="F997" t="n">
        <x:f>--AND(A997&gt;='Calculator'!$B$5,B997&gt;='Calculator'!$B$5,C997&gt;='Calculator'!$B$5)</x:f>
        <x:v>1</x:v>
      </x:c>
      <x:c r="G997" t="n">
        <x:f>--AND(A997+'Calculator'!$B$6&gt;=15,B997+'Calculator'!$B$6&gt;=15,C997+'Calculator'!$B$6&gt;=15)</x:f>
        <x:v>0</x:v>
      </x:c>
      <x:c r="H997" t="n">
        <x:f>--AND(F997=1,D997='Calculator'!$B$4)</x:f>
        <x:v>0</x:v>
      </x:c>
      <x:c r="I997" t="n">
        <x:f>--AND(H997=1,G997=1)</x:f>
        <x:v>0</x:v>
      </x:c>
      <x:c r="J997" t="n">
        <x:f>--AND(F997=1,E997='Calculator'!$B$4)</x:f>
        <x:v>0</x:v>
      </x:c>
      <x:c r="K997" t="n">
        <x:f>--AND(J997=1,G997=1)</x:f>
        <x:v>0</x:v>
      </x:c>
      <x:c r="L997" t="str">
        <x:f>A997&amp;"/"&amp;B997&amp;"/"&amp;C997</x:f>
        <x:v>15/15/11</x:v>
      </x:c>
      <x:c r="M997" t="str">
        <x:f>MIN(15,A997+'Calculator'!$B$6)&amp;"/"&amp;MIN(15,B997+'Calculator'!$B$6)&amp;"/"&amp;MIN(15,C997+'Calculator'!$B$6)</x:f>
        <x:v>15/15/13</x:v>
      </x:c>
    </x:row>
    <x:row r="998">
      <x:c r="A998" t="n">
        <x:v>15</x:v>
      </x:c>
      <x:c r="B998" t="n">
        <x:v>15</x:v>
      </x:c>
      <x:c r="C998" t="n">
        <x:v>12</x:v>
      </x:c>
      <x:c r="D998" t="n">
        <x:f>MAX(10,ROUNDDOWN((('Calculator'!$B$10+A998)*SQRT('Calculator'!$B$11+B998)*SQRT('Calculator'!$B$12+C998)*0.59740001^2)/10,0))</x:f>
        <x:v>2372</x:v>
      </x:c>
      <x:c r="E998" t="n">
        <x:f>MAX(10,ROUNDDOWN((('Calculator'!$B$10+A998)*SQRT('Calculator'!$B$11+B998)*SQRT('Calculator'!$B$12+C998)*0.667934^2)/10,0))</x:f>
        <x:v>2965</x:v>
      </x:c>
      <x:c r="F998" t="n">
        <x:f>--AND(A998&gt;='Calculator'!$B$5,B998&gt;='Calculator'!$B$5,C998&gt;='Calculator'!$B$5)</x:f>
        <x:v>1</x:v>
      </x:c>
      <x:c r="G998" t="n">
        <x:f>--AND(A998+'Calculator'!$B$6&gt;=15,B998+'Calculator'!$B$6&gt;=15,C998+'Calculator'!$B$6&gt;=15)</x:f>
        <x:v>0</x:v>
      </x:c>
      <x:c r="H998" t="n">
        <x:f>--AND(F998=1,D998='Calculator'!$B$4)</x:f>
        <x:v>0</x:v>
      </x:c>
      <x:c r="I998" t="n">
        <x:f>--AND(H998=1,G998=1)</x:f>
        <x:v>0</x:v>
      </x:c>
      <x:c r="J998" t="n">
        <x:f>--AND(F998=1,E998='Calculator'!$B$4)</x:f>
        <x:v>0</x:v>
      </x:c>
      <x:c r="K998" t="n">
        <x:f>--AND(J998=1,G998=1)</x:f>
        <x:v>0</x:v>
      </x:c>
      <x:c r="L998" t="str">
        <x:f>A998&amp;"/"&amp;B998&amp;"/"&amp;C998</x:f>
        <x:v>15/15/12</x:v>
      </x:c>
      <x:c r="M998" t="str">
        <x:f>MIN(15,A998+'Calculator'!$B$6)&amp;"/"&amp;MIN(15,B998+'Calculator'!$B$6)&amp;"/"&amp;MIN(15,C998+'Calculator'!$B$6)</x:f>
        <x:v>15/15/14</x:v>
      </x:c>
    </x:row>
    <x:row r="999">
      <x:c r="A999" t="n">
        <x:v>15</x:v>
      </x:c>
      <x:c r="B999" t="n">
        <x:v>15</x:v>
      </x:c>
      <x:c r="C999" t="n">
        <x:v>13</x:v>
      </x:c>
      <x:c r="D999" t="n">
        <x:f>MAX(10,ROUNDDOWN((('Calculator'!$B$10+A999)*SQRT('Calculator'!$B$11+B999)*SQRT('Calculator'!$B$12+C999)*0.59740001^2)/10,0))</x:f>
        <x:v>2377</x:v>
      </x:c>
      <x:c r="E999" t="n">
        <x:f>MAX(10,ROUNDDOWN((('Calculator'!$B$10+A999)*SQRT('Calculator'!$B$11+B999)*SQRT('Calculator'!$B$12+C999)*0.667934^2)/10,0))</x:f>
        <x:v>2971</x:v>
      </x:c>
      <x:c r="F999" t="n">
        <x:f>--AND(A999&gt;='Calculator'!$B$5,B999&gt;='Calculator'!$B$5,C999&gt;='Calculator'!$B$5)</x:f>
        <x:v>1</x:v>
      </x:c>
      <x:c r="G999" t="n">
        <x:f>--AND(A999+'Calculator'!$B$6&gt;=15,B999+'Calculator'!$B$6&gt;=15,C999+'Calculator'!$B$6&gt;=15)</x:f>
        <x:v>1</x:v>
      </x:c>
      <x:c r="H999" t="n">
        <x:f>--AND(F999=1,D999='Calculator'!$B$4)</x:f>
        <x:v>0</x:v>
      </x:c>
      <x:c r="I999" t="n">
        <x:f>--AND(H999=1,G999=1)</x:f>
        <x:v>0</x:v>
      </x:c>
      <x:c r="J999" t="n">
        <x:f>--AND(F999=1,E999='Calculator'!$B$4)</x:f>
        <x:v>0</x:v>
      </x:c>
      <x:c r="K999" t="n">
        <x:f>--AND(J999=1,G999=1)</x:f>
        <x:v>0</x:v>
      </x:c>
      <x:c r="L999" t="str">
        <x:f>A999&amp;"/"&amp;B999&amp;"/"&amp;C999</x:f>
        <x:v>15/15/13</x:v>
      </x:c>
      <x:c r="M999" t="str">
        <x:f>MIN(15,A999+'Calculator'!$B$6)&amp;"/"&amp;MIN(15,B999+'Calculator'!$B$6)&amp;"/"&amp;MIN(15,C999+'Calculator'!$B$6)</x:f>
        <x:v>15/15/15</x:v>
      </x:c>
    </x:row>
    <x:row r="1000">
      <x:c r="A1000" t="n">
        <x:v>15</x:v>
      </x:c>
      <x:c r="B1000" t="n">
        <x:v>15</x:v>
      </x:c>
      <x:c r="C1000" t="n">
        <x:v>14</x:v>
      </x:c>
      <x:c r="D1000" t="n">
        <x:f>MAX(10,ROUNDDOWN((('Calculator'!$B$10+A1000)*SQRT('Calculator'!$B$11+B1000)*SQRT('Calculator'!$B$12+C1000)*0.59740001^2)/10,0))</x:f>
        <x:v>2382</x:v>
      </x:c>
      <x:c r="E1000" t="n">
        <x:f>MAX(10,ROUNDDOWN((('Calculator'!$B$10+A1000)*SQRT('Calculator'!$B$11+B1000)*SQRT('Calculator'!$B$12+C1000)*0.667934^2)/10,0))</x:f>
        <x:v>2978</x:v>
      </x:c>
      <x:c r="F1000" t="n">
        <x:f>--AND(A1000&gt;='Calculator'!$B$5,B1000&gt;='Calculator'!$B$5,C1000&gt;='Calculator'!$B$5)</x:f>
        <x:v>1</x:v>
      </x:c>
      <x:c r="G1000" t="n">
        <x:f>--AND(A1000+'Calculator'!$B$6&gt;=15,B1000+'Calculator'!$B$6&gt;=15,C1000+'Calculator'!$B$6&gt;=15)</x:f>
        <x:v>1</x:v>
      </x:c>
      <x:c r="H1000" t="n">
        <x:f>--AND(F1000=1,D1000='Calculator'!$B$4)</x:f>
        <x:v>0</x:v>
      </x:c>
      <x:c r="I1000" t="n">
        <x:f>--AND(H1000=1,G1000=1)</x:f>
        <x:v>0</x:v>
      </x:c>
      <x:c r="J1000" t="n">
        <x:f>--AND(F1000=1,E1000='Calculator'!$B$4)</x:f>
        <x:v>0</x:v>
      </x:c>
      <x:c r="K1000" t="n">
        <x:f>--AND(J1000=1,G1000=1)</x:f>
        <x:v>0</x:v>
      </x:c>
      <x:c r="L1000" t="str">
        <x:f>A1000&amp;"/"&amp;B1000&amp;"/"&amp;C1000</x:f>
        <x:v>15/15/14</x:v>
      </x:c>
      <x:c r="M1000" t="str">
        <x:f>MIN(15,A1000+'Calculator'!$B$6)&amp;"/"&amp;MIN(15,B1000+'Calculator'!$B$6)&amp;"/"&amp;MIN(15,C1000+'Calculator'!$B$6)</x:f>
        <x:v>15/15/15</x:v>
      </x:c>
    </x:row>
    <x:row r="1001">
      <x:c r="A1001" t="n">
        <x:v>15</x:v>
      </x:c>
      <x:c r="B1001" t="n">
        <x:v>15</x:v>
      </x:c>
      <x:c r="C1001" t="n">
        <x:v>15</x:v>
      </x:c>
      <x:c r="D1001" t="n">
        <x:f>MAX(10,ROUNDDOWN((('Calculator'!$B$10+A1001)*SQRT('Calculator'!$B$11+B1001)*SQRT('Calculator'!$B$12+C1001)*0.59740001^2)/10,0))</x:f>
        <x:v>2387</x:v>
      </x:c>
      <x:c r="E1001" t="n">
        <x:f>MAX(10,ROUNDDOWN((('Calculator'!$B$10+A1001)*SQRT('Calculator'!$B$11+B1001)*SQRT('Calculator'!$B$12+C1001)*0.667934^2)/10,0))</x:f>
        <x:v>2984</x:v>
      </x:c>
      <x:c r="F1001" t="n">
        <x:f>--AND(A1001&gt;='Calculator'!$B$5,B1001&gt;='Calculator'!$B$5,C1001&gt;='Calculator'!$B$5)</x:f>
        <x:v>1</x:v>
      </x:c>
      <x:c r="G1001" t="n">
        <x:f>--AND(A1001+'Calculator'!$B$6&gt;=15,B1001+'Calculator'!$B$6&gt;=15,C1001+'Calculator'!$B$6&gt;=15)</x:f>
        <x:v>1</x:v>
      </x:c>
      <x:c r="H1001" t="n">
        <x:f>--AND(F1001=1,D1001='Calculator'!$B$4)</x:f>
        <x:v>1</x:v>
      </x:c>
      <x:c r="I1001" t="n">
        <x:f>--AND(H1001=1,G1001=1)</x:f>
        <x:v>1</x:v>
      </x:c>
      <x:c r="J1001" t="n">
        <x:f>--AND(F1001=1,E1001='Calculator'!$B$4)</x:f>
        <x:v>0</x:v>
      </x:c>
      <x:c r="K1001" t="n">
        <x:f>--AND(J1001=1,G1001=1)</x:f>
        <x:v>0</x:v>
      </x:c>
      <x:c r="L1001" t="str">
        <x:f>A1001&amp;"/"&amp;B1001&amp;"/"&amp;C1001</x:f>
        <x:v>15/15/15</x:v>
      </x:c>
      <x:c r="M1001" t="str">
        <x:f>MIN(15,A1001+'Calculator'!$B$6)&amp;"/"&amp;MIN(15,B1001+'Calculator'!$B$6)&amp;"/"&amp;MIN(15,C1001+'Calculator'!$B$6)</x:f>
        <x:v>15/15/15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90000915527344" hidden="0" customWidth="1"/>
    <x:col min="2" max="2" width="28.829999923706055" hidden="0" customWidth="1"/>
    <x:col min="3" max="3" width="28.829999923706055" hidden="0" customWidth="1"/>
    <x:col min="4" max="4" width="28.829999923706055" hidden="0" customWidth="1"/>
  </x:cols>
  <x:sheetData>
    <x:row r="1" ht="25.5" customHeight="1">
      <x:c r="A1" s="5" t="str">
        <x:v>Raid IV Odds Excel Tool</x:v>
      </x:c>
      <x:c r="B1" s="5"/>
      <x:c r="C1" s="5"/>
      <x:c r="D1" s="5"/>
    </x:row>
    <x:row r="3">
      <x:c r="A3" s="8" t="str">
        <x:v>Purpose</x:v>
      </x:c>
      <x:c r="B3" s="18" t="str">
        <x:v>Pick a raid boss and enter observed catch CP to estimate conditional purified-hundo odds.</x:v>
      </x:c>
      <x:c r="C3" s="18"/>
      <x:c r="D3" s="18"/>
    </x:row>
    <x:row r="4">
      <x:c r="A4" s="8" t="str">
        <x:v>Default assumptions</x:v>
      </x:c>
      <x:c r="B4" s="18" t="str">
        <x:v>Tier 5 Shadow Raid IV floor = 6/6/6; purification adds +2 to each IV.</x:v>
      </x:c>
      <x:c r="C4" s="18"/>
      <x:c r="D4" s="18"/>
    </x:row>
    <x:row r="5">
      <x:c r="A5" s="8" t="str">
        <x:v>Calculator tab</x:v>
      </x:c>
      <x:c r="B5" s="18" t="str">
        <x:v>Use the input cells at the top. Results update from formulas.</x:v>
      </x:c>
      <x:c r="C5" s="18"/>
      <x:c r="D5" s="18"/>
    </x:row>
    <x:row r="6">
      <x:c r="A6" s="8" t="str">
        <x:v>Bosses tab</x:v>
      </x:c>
      <x:c r="B6" s="18" t="str">
        <x:v>Seeded legendary/mythical base stats. Add or edit future bosses here if needed.</x:v>
      </x:c>
      <x:c r="C6" s="18"/>
      <x:c r="D6" s="18"/>
    </x:row>
    <x:row r="7">
      <x:c r="A7" s="8" t="str">
        <x:v>IV Detail tab</x:v>
      </x:c>
      <x:c r="B7" s="18" t="str">
        <x:v>The 1,000 IV spreads from 6/6/6 through 15/15/15 with formula-driven CP and eligibility flags.</x:v>
      </x:c>
      <x:c r="C7" s="18"/>
      <x:c r="D7" s="18"/>
    </x:row>
    <x:row r="8">
      <x:c r="A8" s="8" t="str">
        <x:v>Important</x:v>
      </x:c>
      <x:c r="B8" s="18" t="str">
        <x:v>This is an unofficial fan utility. Verify base stats if Pokemon GO changes stats or forms.</x:v>
      </x:c>
      <x:c r="C8" s="18"/>
      <x:c r="D8" s="18"/>
    </x:row>
    <x:row r="9">
      <x:c r="A9" s="8" t="str">
        <x:v>GitHub repo name</x:v>
      </x:c>
      <x:c r="B9" s="18" t="str">
        <x:v>Recommended: raid-iv-odds</x:v>
      </x:c>
      <x:c r="C9" s="18"/>
      <x:c r="D9" s="18"/>
    </x:row>
    <x:row r="10">
      <x:c r="A10" s="8" t="str">
        <x:v>PWA first</x:v>
      </x:c>
      <x:c r="B10" s="18" t="str">
        <x:v>Publish the web app first, then wrap with Capacitor when ready for app stores.</x:v>
      </x:c>
      <x:c r="C10" s="18"/>
      <x:c r="D10" s="18"/>
    </x:row>
    <x:row r="11">
      <x:c r="A11" s="8" t="str">
        <x:v>Privacy</x:v>
      </x:c>
      <x:c r="B11" s="18" t="str">
        <x:v>The app/tool runs locally and does not need user accounts or personal data.</x:v>
      </x:c>
      <x:c r="C11" s="18"/>
      <x:c r="D11" s="18"/>
    </x:row>
  </x:sheetData>
  <x:mergeCells>
    <x:mergeCell ref="A1:D1"/>
  </x:mergeCells>
  <x:pageMargins left="0.7" right="0.7" top="0.75" bottom="0.75" header="0.3" footer="0.3"/>
</x:worksheet>
</file>